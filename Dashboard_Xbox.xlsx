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agonalsocial-my.sharepoint.com/personal/eduardo_silva_diagonal_social/Documents/"/>
    </mc:Choice>
  </mc:AlternateContent>
  <xr:revisionPtr revIDLastSave="533" documentId="8_{DB560795-3922-4A71-B445-215E16C6B4B8}" xr6:coauthVersionLast="47" xr6:coauthVersionMax="47" xr10:uidLastSave="{175FB26A-C2E4-4FC6-BD0D-1DD4010925A7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<sst xmlns="http://schemas.openxmlformats.org/spreadsheetml/2006/main" count="2022" uniqueCount="325">
  <si>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</si>
  <si>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</si>
  <si>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</si>
  <si>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</si>
  <si>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</si>
  <si>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</si>
  <si>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</si>
  <si>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</si>
  <si>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</si>
  <si>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</si>
  <si>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</si>
  <si>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</si>
  <si>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</si>
  <si>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</si>
  <si>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</si>
  <si>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</si>
  <si>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</si>
  <si>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</si>
  <si>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</si>
  <si>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</si>
  <si>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</si>
  <si>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</si>
  <si>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</si>
  <si>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</si>
  <si>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</si>
  <si>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</si>
  <si>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</si>
  <si>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</si>
  <si>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</si>
  <si>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</si>
  <si>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</si>
  <si>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</si>
  <si>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</si>
  <si>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</si>
  <si>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</si>
  <si>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</si>
  <si>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</si>
  <si>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</si>
  <si>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</si>
  <si>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</si>
  <si>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</si>
  <si>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</si>
  <si>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</si>
  <si>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</si>
  <si>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</si>
  <si>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</si>
  <si>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</si>
  <si>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</si>
  <si>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</si>
  <si>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</si>
  <si>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</si>
  <si>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</si>
  <si>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</si>
  <si>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</si>
  <si>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</si>
  <si>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</si>
  <si>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</si>
  <si>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</si>
  <si>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</si>
  <si>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</si>
  <si>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</si>
  <si>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</si>
  <si>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</si>
  <si>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</si>
  <si>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</si>
  <si>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</si>
  <si>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</si>
  <si>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</si>
  <si>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</si>
  <si>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</si>
  <si>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</si>
  <si>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</si>
  <si>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</si>
  <si>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</si>
  <si>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</si>
  <si>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</si>
  <si>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</si>
  <si>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</si>
  <si>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</si>
  <si>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</si>
  <si>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</si>
  <si>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</si>
  <si>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</si>
  <si>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</si>
  <si>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</si>
  <si>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</si>
  <si>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</si>
  <si>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</si>
  <si>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</si>
  <si>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</si>
  <si>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</si>
  <si>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</si>
  <si>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</si>
  <si>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</si>
  <si>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</si>
  <si>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</si>
  <si>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</si>
  <si>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</si>
  <si>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</si>
  <si>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</si>
  <si>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</si>
  <si>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</si>
  <si>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</si>
  <si>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</si>
  <si>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</si>
  <si>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</si>
  <si>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</si>
  <si>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</si>
  <si>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</si>
  <si>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</si>
  <si>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</si>
  <si>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</si>
  <si>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</si>
  <si>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</si>
  <si>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</si>
  <si>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</si>
  <si>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</si>
  <si>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</si>
  <si>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</si>
  <si>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</si>
  <si>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</si>
  <si>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</si>
  <si>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</si>
  <si>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</si>
  <si>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</si>
  <si>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</si>
  <si>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</si>
  <si>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</si>
  <si>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</si>
  <si>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</si>
  <si>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</si>
  <si>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</si>
  <si>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</si>
  <si>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</si>
  <si>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</si>
  <si>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</si>
  <si>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</si>
  <si>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</si>
  <si>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</si>
  <si>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</si>
  <si>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</si>
  <si>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</si>
  <si>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</si>
  <si>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</si>
  <si>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</si>
  <si>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</si>
  <si>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</si>
  <si>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</si>
  <si>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</si>
  <si>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</si>
  <si>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</si>
  <si>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</si>
  <si>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</si>
  <si>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</si>
  <si>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</si>
  <si>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</si>
  <si>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</si>
  <si>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</si>
  <si>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</si>
  <si>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</si>
  <si>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</si>
  <si>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</si>
  <si>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</si>
  <si>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</si>
  <si>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</si>
  <si>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</si>
  <si>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</si>
  <si>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</si>
  <si>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</si>
  <si>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</si>
  <si>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</si>
  <si>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</si>
  <si>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</si>
  <si>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</si>
  <si>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</si>
  <si>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</si>
  <si>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</si>
  <si>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</si>
  <si>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</si>
  <si>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</si>
  <si>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</si>
  <si>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</si>
  <si>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</si>
  <si>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</si>
  <si>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</si>
  <si>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</si>
  <si>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</si>
  <si>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</si>
  <si>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</si>
  <si>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</si>
  <si>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</si>
  <si>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</si>
  <si>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</si>
  <si>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</si>
  <si>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</si>
  <si>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</si>
  <si>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</si>
  <si>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</si>
  <si>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</si>
  <si>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</si>
  <si>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</si>
  <si>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</si>
  <si>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</si>
  <si>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</si>
  <si>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</si>
  <si>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</si>
  <si>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</si>
  <si>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</si>
  <si>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</si>
  <si>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</si>
  <si>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</si>
  <si>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</si>
  <si>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</si>
  <si>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</si>
  <si>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</si>
  <si>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</si>
  <si>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</si>
  <si>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</si>
  <si>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</si>
  <si>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</si>
  <si>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</si>
  <si>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</si>
  <si>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</si>
  <si>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</si>
  <si>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</si>
  <si>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</si>
  <si>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</si>
  <si>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</si>
  <si>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</si>
  <si>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</si>
  <si>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</si>
  <si>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</si>
  <si>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</si>
  <si>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</si>
  <si>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</si>
  <si>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</si>
  <si>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</si>
  <si>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</si>
  <si>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</si>
  <si>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</si>
  <si>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</si>
  <si>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</si>
  <si>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</si>
  <si>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</si>
  <si>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</si>
  <si>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</si>
  <si>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</si>
  <si>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</si>
  <si>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</si>
  <si>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</si>
  <si>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</si>
  <si>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</si>
  <si>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</si>
  <si>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</si>
  <si>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</si>
  <si>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</si>
  <si>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</si>
  <si>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</si>
  <si>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</si>
  <si>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</si>
  <si>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</si>
  <si>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</si>
  <si>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</si>
  <si>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</si>
  <si>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</si>
  <si>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</si>
  <si>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</si>
  <si>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</si>
  <si>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</si>
  <si>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</si>
  <si>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</si>
  <si>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</si>
  <si>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</si>
  <si>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</si>
  <si>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</si>
  <si>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</si>
  <si>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</si>
  <si>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</si>
  <si>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</si>
  <si>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</si>
  <si>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</si>
  <si>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</si>
  <si>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</si>
  <si>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</si>
  <si>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</si>
  <si>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</si>
  <si>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</si>
  <si>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</si>
  <si>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</si>
  <si>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</si>
  <si>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</si>
  <si>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</si>
  <si>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</si>
  <si>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</si>
  <si>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</si>
  <si>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</si>
  <si>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</si>
  <si>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</si>
  <si>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</si>
  <si>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</si>
  <si>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</si>
  <si>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</si>
  <si>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</si>
  <si>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</si>
  <si>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</si>
  <si>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</si>
  <si>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</si>
  <si>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</si>
  <si>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</si>
  <si>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</si>
  <si>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</si>
  <si>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</si>
  <si>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# 0070CC</t>
  </si>
  <si>
    <t>(Tudo)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</si>
  <si>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(contando todas as assinaturas agregadas)</t>
    </r>
  </si>
  <si>
    <t>Rótulos de Linha</t>
  </si>
  <si>
    <t>Total Geral</t>
  </si>
  <si>
    <t>Soma de Total Value</t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</si>
  <si>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separdo por </t>
    </r>
    <r>
      <rPr>
        <b/>
        <sz val="11"/>
        <color theme="1"/>
        <rFont val="Aptos Narrow"/>
        <family val="2"/>
        <scheme val="minor"/>
      </rPr>
      <t>Auto renovação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 xml:space="preserve">Não é por Auto Renovação </t>
    </r>
  </si>
  <si>
    <t xml:space="preserve">É uma pergunta de negócio respondida através de alguma análise de dados especifica </t>
  </si>
  <si>
    <t>XBOX GAME PASS SUBSCRIPTION SALES</t>
  </si>
  <si>
    <t>Pergnuta de Negócio 3 - Total de Vendas de Assinaturas do EA Play</t>
  </si>
  <si>
    <t>Soma de EA Play Season Pass</t>
  </si>
  <si>
    <t>Pergnuta de Negócio 5 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</si>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</sst>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Aptos Black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center"/>
    </xf>
    <xf numFmtId="0" fontId="1" fillId="0" borderId="2" xfId="1" applyBorder="1"/>
    <xf numFmtId="164" fontId="0" fillId="0" borderId="0" xfId="0" applyNumberFormat="1"/>
    <xf numFmtId="0" fontId="0" fillId="9" borderId="0" xfId="0" applyFill="1"/>
    <xf numFmtId="0" fontId="0" fillId="0" borderId="2" xfId="0" applyBorder="1"/>
    <xf numFmtId="0" fontId="5" fillId="0" borderId="2" xfId="1" applyFont="1" applyBorder="1" applyAlignment="1">
      <alignment horizontal="left" indent="4"/>
    </xf>
    <xf numFmtId="0" fontId="4" fillId="8" borderId="0" xfId="3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C08EB7F9-22FD-46A6-B98B-D9D0877B46E1}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2D64E6"/>
      <color rgb="FF0070CC"/>
      <color rgb="FF00439C"/>
      <color rgb="FF00246E"/>
      <color rgb="FF000000"/>
      <color rgb="FFE0E0E0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3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3-46D1-B036-2C4A93B46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1004591"/>
        <c:axId val="2005046543"/>
      </c:barChart>
      <c:catAx>
        <c:axId val="1201004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5046543"/>
        <c:crosses val="autoZero"/>
        <c:auto val="1"/>
        <c:lblAlgn val="ctr"/>
        <c:lblOffset val="100"/>
        <c:noMultiLvlLbl val="0"/>
      </c:catAx>
      <c:valAx>
        <c:axId val="2005046543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01004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120778</xdr:rowOff>
    </xdr:from>
    <xdr:to>
      <xdr:col>2</xdr:col>
      <xdr:colOff>381000</xdr:colOff>
      <xdr:row>5</xdr:row>
      <xdr:rowOff>35719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2C9C26-D3CA-4719-AC9A-317427F16C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r="71947"/>
        <a:stretch>
          <a:fillRect/>
        </a:stretch>
      </xdr:blipFill>
      <xdr:spPr>
        <a:xfrm>
          <a:off x="2071688" y="120778"/>
          <a:ext cx="619125" cy="998410"/>
        </a:xfrm>
        <a:prstGeom prst="rect">
          <a:avLst/>
        </a:prstGeom>
      </xdr:spPr>
    </xdr:pic>
    <xdr:clientData/>
  </xdr:twoCellAnchor>
  <xdr:twoCellAnchor editAs="oneCell">
    <xdr:from>
      <xdr:col>0</xdr:col>
      <xdr:colOff>119061</xdr:colOff>
      <xdr:row>6</xdr:row>
      <xdr:rowOff>140495</xdr:rowOff>
    </xdr:from>
    <xdr:to>
      <xdr:col>0</xdr:col>
      <xdr:colOff>1947861</xdr:colOff>
      <xdr:row>15</xdr:row>
      <xdr:rowOff>73820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Subscription Type">
              <a:extLst>
                <a:ext uri="{FF2B5EF4-FFF2-40B4-BE49-F238E27FC236}">
                  <a16:creationId xmlns:a16="http://schemas.microsoft.com/office/drawing/2014/main" id="{AD13571C-87B9-452D-930B-2E3CC83726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61" y="1417966"/>
              <a:ext cx="1828800" cy="1647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226219</xdr:colOff>
      <xdr:row>9</xdr:row>
      <xdr:rowOff>107156</xdr:rowOff>
    </xdr:from>
    <xdr:to>
      <xdr:col>8</xdr:col>
      <xdr:colOff>509587</xdr:colOff>
      <xdr:row>14</xdr:row>
      <xdr:rowOff>38099</xdr:rowOff>
    </xdr:to>
    <xdr:sp macro="" textlink="C̳álculos!Y44">
      <xdr:nvSpPr>
        <xdr:cNvPr id="15" name="Retângulo: Cantos Arredondados 14">
          <a:extLst>
            <a:ext uri="{FF2B5EF4-FFF2-40B4-BE49-F238E27FC236}">
              <a16:creationId xmlns:a16="http://schemas.microsoft.com/office/drawing/2014/main" id="{873932B2-0B8D-4FF5-9835-51C12C0D3674}"/>
            </a:ext>
          </a:extLst>
        </xdr:cNvPr>
        <xdr:cNvSpPr/>
      </xdr:nvSpPr>
      <xdr:spPr>
        <a:xfrm>
          <a:off x="3750469" y="1952625"/>
          <a:ext cx="2712243" cy="883443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1E02F46-EFBC-4A77-9930-764FA5F38B21}" type="TxLink">
            <a:rPr lang="en-US" sz="4000" b="0" i="0" u="none" strike="noStrike">
              <a:solidFill>
                <a:srgbClr val="22C55E"/>
              </a:solidFill>
              <a:latin typeface="Aptos" panose="020B0004020202020204" pitchFamily="34" charset="0"/>
            </a:rPr>
            <a:pPr algn="ctr"/>
            <a:t> </a:t>
          </a:fld>
          <a:endParaRPr lang="pt-BR" sz="4000">
            <a:solidFill>
              <a:srgbClr val="22C55E"/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2</xdr:col>
      <xdr:colOff>130968</xdr:colOff>
      <xdr:row>6</xdr:row>
      <xdr:rowOff>148827</xdr:rowOff>
    </xdr:from>
    <xdr:to>
      <xdr:col>9</xdr:col>
      <xdr:colOff>226219</xdr:colOff>
      <xdr:row>16</xdr:row>
      <xdr:rowOff>17859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40AC86B0-C918-B0D7-4977-C98EB52BAE49}"/>
            </a:ext>
          </a:extLst>
        </xdr:cNvPr>
        <xdr:cNvGrpSpPr/>
      </xdr:nvGrpSpPr>
      <xdr:grpSpPr>
        <a:xfrm>
          <a:off x="2439380" y="1426298"/>
          <a:ext cx="4331074" cy="1774032"/>
          <a:chOff x="2440781" y="1404937"/>
          <a:chExt cx="4345782" cy="1750219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8F551C5D-86E4-7FE8-9598-3998B9E288B9}"/>
              </a:ext>
            </a:extLst>
          </xdr:cNvPr>
          <xdr:cNvSpPr/>
        </xdr:nvSpPr>
        <xdr:spPr>
          <a:xfrm>
            <a:off x="2440781" y="1500187"/>
            <a:ext cx="4250531" cy="1654969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9816A62C-5AE3-4983-A131-FB18631A772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721554" y="1908481"/>
            <a:ext cx="1409915" cy="1023494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6430EC0B-DF10-DBF5-FFC6-867DA1B832D8}"/>
              </a:ext>
            </a:extLst>
          </xdr:cNvPr>
          <xdr:cNvSpPr/>
        </xdr:nvSpPr>
        <xdr:spPr>
          <a:xfrm>
            <a:off x="2440781" y="1404937"/>
            <a:ext cx="4262438" cy="440532"/>
          </a:xfrm>
          <a:prstGeom prst="round2SameRect">
            <a:avLst/>
          </a:prstGeom>
          <a:solidFill>
            <a:schemeClr val="accent3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0">
                <a:latin typeface="Aptos Black" panose="020B0004020202020204" pitchFamily="34" charset="0"/>
              </a:rPr>
              <a:t>TOTAL SUBSCRIPTIONS EA PLAY SEASON PASS</a:t>
            </a:r>
          </a:p>
        </xdr:txBody>
      </xdr:sp>
      <xdr:sp macro="" textlink="C̳álculos!E25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F22C807E-9E4B-4A58-F58D-80A24335C1DC}"/>
              </a:ext>
            </a:extLst>
          </xdr:cNvPr>
          <xdr:cNvSpPr/>
        </xdr:nvSpPr>
        <xdr:spPr>
          <a:xfrm>
            <a:off x="3750469" y="2035969"/>
            <a:ext cx="3036094" cy="762000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4B07A6E-F06B-4888-B173-3C34608B0E18}" type="TxLink">
              <a:rPr lang="en-US" sz="2800" b="0" i="0" u="none" strike="noStrike">
                <a:solidFill>
                  <a:schemeClr val="accent3">
                    <a:lumMod val="60000"/>
                    <a:lumOff val="40000"/>
                  </a:schemeClr>
                </a:solidFill>
                <a:latin typeface="Aptos Black" panose="020B0004020202020204" pitchFamily="34" charset="0"/>
              </a:rPr>
              <a:pPr algn="ctr"/>
              <a:t>R$ 2.940,00</a:t>
            </a:fld>
            <a:endParaRPr lang="pt-BR" sz="2800">
              <a:solidFill>
                <a:schemeClr val="accent3">
                  <a:lumMod val="60000"/>
                  <a:lumOff val="40000"/>
                </a:schemeClr>
              </a:solidFill>
              <a:latin typeface="Aptos Black" panose="020B0004020202020204" pitchFamily="34" charset="0"/>
            </a:endParaRPr>
          </a:p>
        </xdr:txBody>
      </xdr:sp>
    </xdr:grpSp>
    <xdr:clientData/>
  </xdr:twoCellAnchor>
  <xdr:twoCellAnchor>
    <xdr:from>
      <xdr:col>10</xdr:col>
      <xdr:colOff>285748</xdr:colOff>
      <xdr:row>6</xdr:row>
      <xdr:rowOff>160734</xdr:rowOff>
    </xdr:from>
    <xdr:to>
      <xdr:col>18</xdr:col>
      <xdr:colOff>273844</xdr:colOff>
      <xdr:row>16</xdr:row>
      <xdr:rowOff>5953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2DDCCBE-812C-96F2-BA7C-B4188B04EA34}"/>
            </a:ext>
          </a:extLst>
        </xdr:cNvPr>
        <xdr:cNvGrpSpPr/>
      </xdr:nvGrpSpPr>
      <xdr:grpSpPr>
        <a:xfrm>
          <a:off x="7435101" y="1438205"/>
          <a:ext cx="4660949" cy="1750219"/>
          <a:chOff x="7453311" y="1464469"/>
          <a:chExt cx="4679158" cy="1750219"/>
        </a:xfrm>
      </xdr:grpSpPr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2CD4D76D-3D7E-482B-BA9B-E31ECA678985}"/>
              </a:ext>
            </a:extLst>
          </xdr:cNvPr>
          <xdr:cNvGrpSpPr/>
        </xdr:nvGrpSpPr>
        <xdr:grpSpPr>
          <a:xfrm>
            <a:off x="7453311" y="1464469"/>
            <a:ext cx="4679158" cy="1750219"/>
            <a:chOff x="2440781" y="1404937"/>
            <a:chExt cx="4527402" cy="1750219"/>
          </a:xfrm>
        </xdr:grpSpPr>
        <xdr:sp macro="" textlink="">
          <xdr:nvSpPr>
            <xdr:cNvPr id="23" name="Retângulo: Cantos Arredondados 22">
              <a:extLst>
                <a:ext uri="{FF2B5EF4-FFF2-40B4-BE49-F238E27FC236}">
                  <a16:creationId xmlns:a16="http://schemas.microsoft.com/office/drawing/2014/main" id="{642E6701-1C76-F5F1-0A59-E571858D000E}"/>
                </a:ext>
              </a:extLst>
            </xdr:cNvPr>
            <xdr:cNvSpPr/>
          </xdr:nvSpPr>
          <xdr:spPr>
            <a:xfrm>
              <a:off x="2440781" y="1500187"/>
              <a:ext cx="4250531" cy="165496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5" name="Retângulo: Cantos Superiores Arredondados 24">
              <a:extLst>
                <a:ext uri="{FF2B5EF4-FFF2-40B4-BE49-F238E27FC236}">
                  <a16:creationId xmlns:a16="http://schemas.microsoft.com/office/drawing/2014/main" id="{AD2FDFFD-6EAB-7DA1-8323-39395A700AA4}"/>
                </a:ext>
              </a:extLst>
            </xdr:cNvPr>
            <xdr:cNvSpPr/>
          </xdr:nvSpPr>
          <xdr:spPr>
            <a:xfrm>
              <a:off x="2440781" y="1404937"/>
              <a:ext cx="4262438" cy="440532"/>
            </a:xfrm>
            <a:prstGeom prst="round2SameRect">
              <a:avLst/>
            </a:prstGeom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0">
                  <a:latin typeface="Aptos Black" panose="020B0004020202020204" pitchFamily="34" charset="0"/>
                </a:rPr>
                <a:t>TOTAL SUBSCRIPTIONS MINECRAFT SEASON PASS</a:t>
              </a:r>
            </a:p>
          </xdr:txBody>
        </xdr:sp>
        <xdr:sp macro="" textlink="C̳álculos!E37">
          <xdr:nvSpPr>
            <xdr:cNvPr id="26" name="Retângulo: Cantos Arredondados 25">
              <a:extLst>
                <a:ext uri="{FF2B5EF4-FFF2-40B4-BE49-F238E27FC236}">
                  <a16:creationId xmlns:a16="http://schemas.microsoft.com/office/drawing/2014/main" id="{D566BB9C-15F4-9F8E-8CEA-F65663B3A45A}"/>
                </a:ext>
              </a:extLst>
            </xdr:cNvPr>
            <xdr:cNvSpPr/>
          </xdr:nvSpPr>
          <xdr:spPr>
            <a:xfrm>
              <a:off x="3585908" y="1976437"/>
              <a:ext cx="3382275" cy="762000"/>
            </a:xfrm>
            <a:prstGeom prst="roundRect">
              <a:avLst>
                <a:gd name="adj" fmla="val 5000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46DD992-9F77-4444-B6F5-EE57DD9A2C2B}" type="TxLink">
                <a:rPr lang="en-US" sz="2800" b="0" i="0" u="none" strike="noStrike">
                  <a:solidFill>
                    <a:schemeClr val="accent3">
                      <a:lumMod val="60000"/>
                      <a:lumOff val="40000"/>
                    </a:schemeClr>
                  </a:solidFill>
                  <a:latin typeface="Aptos Black" panose="020B0004020202020204" pitchFamily="34" charset="0"/>
                </a:rPr>
                <a:pPr algn="ctr"/>
                <a:t>R$ 3.880,00</a:t>
              </a:fld>
              <a:endParaRPr lang="pt-BR" sz="2800">
                <a:solidFill>
                  <a:schemeClr val="accent3">
                    <a:lumMod val="60000"/>
                    <a:lumOff val="40000"/>
                  </a:schemeClr>
                </a:solidFill>
                <a:latin typeface="Aptos Black" panose="020B0004020202020204" pitchFamily="34" charset="0"/>
              </a:endParaRPr>
            </a:p>
          </xdr:txBody>
        </xdr:sp>
      </xdr:grp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9E7AFB58-3C71-42F0-AA1A-C0CC954911DC}"/>
              </a:ext>
            </a:extLst>
          </xdr:cNvPr>
          <xdr:cNvGrpSpPr/>
        </xdr:nvGrpSpPr>
        <xdr:grpSpPr>
          <a:xfrm>
            <a:off x="7774781" y="2071688"/>
            <a:ext cx="1204195" cy="571500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94BC448B-81CB-54B4-216C-DBDBCDB04E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535E1886-A27A-6AC5-BB0E-00E25A4834D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0</xdr:colOff>
      <xdr:row>18</xdr:row>
      <xdr:rowOff>0</xdr:rowOff>
    </xdr:from>
    <xdr:to>
      <xdr:col>18</xdr:col>
      <xdr:colOff>0</xdr:colOff>
      <xdr:row>34</xdr:row>
      <xdr:rowOff>4763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81A973FA-7A62-001D-16A5-769305064A4F}"/>
            </a:ext>
          </a:extLst>
        </xdr:cNvPr>
        <xdr:cNvGrpSpPr/>
      </xdr:nvGrpSpPr>
      <xdr:grpSpPr>
        <a:xfrm>
          <a:off x="2308412" y="3563471"/>
          <a:ext cx="9513794" cy="3052763"/>
          <a:chOff x="2309813" y="3559969"/>
          <a:chExt cx="9548812" cy="3052763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59D041E0-4AEB-186C-52AA-6DF4BDDA47A6}"/>
              </a:ext>
            </a:extLst>
          </xdr:cNvPr>
          <xdr:cNvGrpSpPr/>
        </xdr:nvGrpSpPr>
        <xdr:grpSpPr>
          <a:xfrm>
            <a:off x="2309813" y="3857625"/>
            <a:ext cx="9548812" cy="2755107"/>
            <a:chOff x="3786187" y="1476375"/>
            <a:chExt cx="4502067" cy="2755107"/>
          </a:xfrm>
        </xdr:grpSpPr>
        <xdr:sp macro="" textlink="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9864B6B5-B146-D32F-B5DB-AE53650CE1BE}"/>
                </a:ext>
              </a:extLst>
            </xdr:cNvPr>
            <xdr:cNvSpPr/>
          </xdr:nvSpPr>
          <xdr:spPr>
            <a:xfrm>
              <a:off x="3786187" y="1476375"/>
              <a:ext cx="4500563" cy="2655094"/>
            </a:xfrm>
            <a:prstGeom prst="roundRect">
              <a:avLst>
                <a:gd name="adj" fmla="val 627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11813F4D-AD8C-48F0-BCE8-30FC56216CB4}"/>
                </a:ext>
              </a:extLst>
            </xdr:cNvPr>
            <xdr:cNvGraphicFramePr>
              <a:graphicFrameLocks/>
            </xdr:cNvGraphicFramePr>
          </xdr:nvGraphicFramePr>
          <xdr:xfrm>
            <a:off x="3957637" y="1488282"/>
            <a:ext cx="4330617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838C06AB-F99D-8937-A5CB-55F29F655CA3}"/>
              </a:ext>
            </a:extLst>
          </xdr:cNvPr>
          <xdr:cNvSpPr/>
        </xdr:nvSpPr>
        <xdr:spPr>
          <a:xfrm>
            <a:off x="2309814" y="3559969"/>
            <a:ext cx="9548811" cy="547687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3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>
                <a:latin typeface="Aptos Black" panose="020B0004020202020204" pitchFamily="34" charset="0"/>
              </a:rPr>
              <a:t>TOTAL</a:t>
            </a:r>
            <a:r>
              <a:rPr lang="pt-BR" sz="2000" baseline="0">
                <a:latin typeface="Aptos Black" panose="020B0004020202020204" pitchFamily="34" charset="0"/>
              </a:rPr>
              <a:t> SUBSCRIPTIONS XBOX GAME PASS</a:t>
            </a:r>
            <a:endParaRPr lang="pt-BR" sz="2000">
              <a:latin typeface="Aptos Black" panose="020B0004020202020204" pitchFamily="34" charset="0"/>
            </a:endParaRPr>
          </a:p>
        </xdr:txBody>
      </xdr:sp>
    </xdr:grpSp>
    <xdr:clientData/>
  </xdr:twoCellAnchor>
  <xdr:twoCellAnchor editAs="absolute">
    <xdr:from>
      <xdr:col>0</xdr:col>
      <xdr:colOff>685801</xdr:colOff>
      <xdr:row>1</xdr:row>
      <xdr:rowOff>7144</xdr:rowOff>
    </xdr:from>
    <xdr:to>
      <xdr:col>0</xdr:col>
      <xdr:colOff>1381126</xdr:colOff>
      <xdr:row>4</xdr:row>
      <xdr:rowOff>0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88983C92-7446-404A-9B31-335F78F0F4CE}"/>
            </a:ext>
          </a:extLst>
        </xdr:cNvPr>
        <xdr:cNvSpPr/>
      </xdr:nvSpPr>
      <xdr:spPr>
        <a:xfrm>
          <a:off x="685801" y="197644"/>
          <a:ext cx="695325" cy="69532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 kern="1200"/>
        </a:p>
      </xdr:txBody>
    </xdr:sp>
    <xdr:clientData/>
  </xdr:twoCellAnchor>
  <xdr:twoCellAnchor editAs="absolute">
    <xdr:from>
      <xdr:col>0</xdr:col>
      <xdr:colOff>1</xdr:colOff>
      <xdr:row>4</xdr:row>
      <xdr:rowOff>83344</xdr:rowOff>
    </xdr:from>
    <xdr:to>
      <xdr:col>1</xdr:col>
      <xdr:colOff>1</xdr:colOff>
      <xdr:row>6</xdr:row>
      <xdr:rowOff>83344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88E80001-EB2C-7FE3-0722-46D58441F7D2}"/>
            </a:ext>
          </a:extLst>
        </xdr:cNvPr>
        <xdr:cNvSpPr/>
      </xdr:nvSpPr>
      <xdr:spPr>
        <a:xfrm>
          <a:off x="1" y="976313"/>
          <a:ext cx="2071688" cy="3810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latin typeface="Aptos Black" panose="020B0004020202020204" pitchFamily="34" charset="0"/>
            </a:rPr>
            <a:t>&gt;</a:t>
          </a:r>
          <a:r>
            <a:rPr lang="pt-BR" sz="1100" baseline="0">
              <a:latin typeface="Aptos Black" panose="020B0004020202020204" pitchFamily="34" charset="0"/>
            </a:rPr>
            <a:t> Seja bem-vindo, Eduardo</a:t>
          </a:r>
          <a:endParaRPr lang="pt-BR" sz="1100">
            <a:latin typeface="Aptos Black" panose="020B0004020202020204" pitchFamily="34" charset="0"/>
          </a:endParaRPr>
        </a:p>
      </xdr:txBody>
    </xdr:sp>
    <xdr:clientData/>
  </xdr:twoCellAnchor>
  <xdr:twoCellAnchor>
    <xdr:from>
      <xdr:col>1</xdr:col>
      <xdr:colOff>0</xdr:colOff>
      <xdr:row>5</xdr:row>
      <xdr:rowOff>0</xdr:rowOff>
    </xdr:from>
    <xdr:to>
      <xdr:col>17</xdr:col>
      <xdr:colOff>273845</xdr:colOff>
      <xdr:row>6</xdr:row>
      <xdr:rowOff>0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7CF9EB63-09A6-4C8F-A0B3-5C08CC36F2BB}"/>
            </a:ext>
          </a:extLst>
        </xdr:cNvPr>
        <xdr:cNvSpPr/>
      </xdr:nvSpPr>
      <xdr:spPr>
        <a:xfrm>
          <a:off x="2071688" y="1083469"/>
          <a:ext cx="9453563" cy="190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chemeClr val="bg2">
                  <a:lumMod val="75000"/>
                </a:schemeClr>
              </a:solidFill>
              <a:latin typeface="Aptos" panose="020B0004020202020204" pitchFamily="34" charset="0"/>
            </a:rPr>
            <a:t>Calculation</a:t>
          </a:r>
          <a:r>
            <a:rPr lang="pt-BR" sz="1100" baseline="0">
              <a:solidFill>
                <a:schemeClr val="bg2">
                  <a:lumMod val="75000"/>
                </a:schemeClr>
              </a:solidFill>
              <a:latin typeface="Aptos" panose="020B0004020202020204" pitchFamily="34" charset="0"/>
            </a:rPr>
            <a:t> Period: 01/01/2026 - 31-12-2026 | Update Date: 05/10/2026 16:20:00</a:t>
          </a:r>
          <a:endParaRPr lang="pt-BR" sz="1100">
            <a:solidFill>
              <a:schemeClr val="bg2">
                <a:lumMod val="7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uardo Silva" refreshedDate="46300.45500775463" createdVersion="8" refreshedVersion="8" minRefreshableVersion="3" recordCount="295" xr:uid="{046D3113-CEFA-4121-BCFB-DCE52E8D0EA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008528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n v="30"/>
    <s v="Yes"/>
    <n v="20"/>
    <n v="5"/>
    <n v="60"/>
  </r>
  <r>
    <n v="3232"/>
    <s v="Maria Oliveira"/>
    <x v="1"/>
    <d v="2024-01-15T00:00:00"/>
    <x v="1"/>
    <n v="5"/>
    <x v="1"/>
    <x v="1"/>
    <s v="-"/>
    <s v="No"/>
    <n v="0"/>
    <n v="0"/>
    <n v="5"/>
  </r>
  <r>
    <n v="3233"/>
    <s v="Lucas Fernandes"/>
    <x v="2"/>
    <d v="2024-02-10T00:00:00"/>
    <x v="0"/>
    <n v="10"/>
    <x v="2"/>
    <x v="1"/>
    <s v="-"/>
    <s v="Yes"/>
    <n v="20"/>
    <n v="10"/>
    <n v="20"/>
  </r>
  <r>
    <n v="3234"/>
    <s v="Ana Souza"/>
    <x v="0"/>
    <d v="2024-02-20T00:00:00"/>
    <x v="1"/>
    <n v="15"/>
    <x v="0"/>
    <x v="0"/>
    <n v="30"/>
    <s v="Yes"/>
    <n v="20"/>
    <n v="3"/>
    <n v="62"/>
  </r>
  <r>
    <n v="3235"/>
    <s v="Pedro Gonçalves"/>
    <x v="1"/>
    <d v="2024-03-05T00:00:00"/>
    <x v="0"/>
    <n v="5"/>
    <x v="0"/>
    <x v="1"/>
    <s v="-"/>
    <s v="No"/>
    <n v="0"/>
    <n v="1"/>
    <n v="4"/>
  </r>
  <r>
    <n v="3236"/>
    <s v="Felipe Costa"/>
    <x v="2"/>
    <d v="2024-03-02T00:00:00"/>
    <x v="1"/>
    <n v="10"/>
    <x v="0"/>
    <x v="1"/>
    <s v="-"/>
    <s v="Yes"/>
    <n v="20"/>
    <n v="2"/>
    <n v="28"/>
  </r>
  <r>
    <n v="3237"/>
    <s v="Camila Ribeiro"/>
    <x v="0"/>
    <d v="2024-03-03T00:00:00"/>
    <x v="0"/>
    <n v="15"/>
    <x v="2"/>
    <x v="0"/>
    <n v="30"/>
    <s v="Yes"/>
    <n v="20"/>
    <n v="10"/>
    <n v="55"/>
  </r>
  <r>
    <n v="3238"/>
    <s v="André Mendes"/>
    <x v="1"/>
    <d v="2024-03-04T00:00:00"/>
    <x v="0"/>
    <n v="5"/>
    <x v="1"/>
    <x v="1"/>
    <s v="-"/>
    <s v="No"/>
    <n v="0"/>
    <n v="0"/>
    <n v="5"/>
  </r>
  <r>
    <n v="3239"/>
    <s v="Sofia Almeida"/>
    <x v="0"/>
    <d v="2024-03-05T00:00:00"/>
    <x v="1"/>
    <n v="15"/>
    <x v="0"/>
    <x v="0"/>
    <n v="30"/>
    <s v="Yes"/>
    <n v="20"/>
    <n v="5"/>
    <n v="60"/>
  </r>
  <r>
    <n v="3240"/>
    <s v="Bruno Martins"/>
    <x v="2"/>
    <d v="2024-03-06T00:00:00"/>
    <x v="0"/>
    <n v="10"/>
    <x v="2"/>
    <x v="1"/>
    <s v="-"/>
    <s v="Yes"/>
    <n v="20"/>
    <n v="15"/>
    <n v="15"/>
  </r>
  <r>
    <n v="3241"/>
    <s v="Rita Castro"/>
    <x v="1"/>
    <d v="2024-03-07T00:00:00"/>
    <x v="1"/>
    <n v="5"/>
    <x v="0"/>
    <x v="1"/>
    <s v="-"/>
    <s v="No"/>
    <n v="0"/>
    <n v="1"/>
    <n v="4"/>
  </r>
  <r>
    <n v="3242"/>
    <s v="Marco Túlio"/>
    <x v="0"/>
    <d v="2024-03-08T00:00:00"/>
    <x v="0"/>
    <n v="15"/>
    <x v="1"/>
    <x v="0"/>
    <n v="30"/>
    <s v="Yes"/>
    <n v="20"/>
    <n v="20"/>
    <n v="45"/>
  </r>
  <r>
    <n v="3243"/>
    <s v="Lívia Silveira"/>
    <x v="2"/>
    <d v="2024-03-09T00:00:00"/>
    <x v="1"/>
    <n v="10"/>
    <x v="0"/>
    <x v="1"/>
    <s v="-"/>
    <s v="Yes"/>
    <n v="20"/>
    <n v="10"/>
    <n v="20"/>
  </r>
  <r>
    <n v="3244"/>
    <s v="Diogo Sousa"/>
    <x v="1"/>
    <d v="2024-03-10T00:00:00"/>
    <x v="0"/>
    <n v="5"/>
    <x v="2"/>
    <x v="1"/>
    <s v="-"/>
    <s v="No"/>
    <n v="0"/>
    <n v="0"/>
    <n v="5"/>
  </r>
  <r>
    <n v="3245"/>
    <s v="Fernanda Lima"/>
    <x v="0"/>
    <d v="2024-03-11T00:00:00"/>
    <x v="1"/>
    <n v="15"/>
    <x v="0"/>
    <x v="0"/>
    <n v="30"/>
    <s v="Yes"/>
    <n v="20"/>
    <n v="8"/>
    <n v="57"/>
  </r>
  <r>
    <n v="3246"/>
    <s v="Caio Pereira"/>
    <x v="2"/>
    <d v="2024-03-12T00:00:00"/>
    <x v="0"/>
    <n v="10"/>
    <x v="1"/>
    <x v="1"/>
    <s v="-"/>
    <s v="Yes"/>
    <n v="20"/>
    <n v="12"/>
    <n v="18"/>
  </r>
  <r>
    <n v="3247"/>
    <s v="Beatriz Gomes"/>
    <x v="1"/>
    <d v="2024-03-13T00:00:00"/>
    <x v="1"/>
    <n v="5"/>
    <x v="0"/>
    <x v="1"/>
    <s v="-"/>
    <s v="No"/>
    <n v="0"/>
    <n v="2"/>
    <n v="3"/>
  </r>
  <r>
    <n v="3248"/>
    <s v="Cesar Oliveira"/>
    <x v="0"/>
    <d v="2024-03-14T00:00:00"/>
    <x v="0"/>
    <n v="15"/>
    <x v="2"/>
    <x v="0"/>
    <n v="30"/>
    <s v="Yes"/>
    <n v="20"/>
    <n v="7"/>
    <n v="58"/>
  </r>
  <r>
    <n v="3249"/>
    <s v="Débora Machado"/>
    <x v="2"/>
    <d v="2024-03-15T00:00:00"/>
    <x v="1"/>
    <n v="10"/>
    <x v="0"/>
    <x v="1"/>
    <s v="-"/>
    <s v="Yes"/>
    <n v="20"/>
    <n v="5"/>
    <n v="25"/>
  </r>
  <r>
    <n v="3250"/>
    <s v="Eduardo Vargas"/>
    <x v="1"/>
    <d v="2024-03-16T00:00:00"/>
    <x v="0"/>
    <n v="5"/>
    <x v="1"/>
    <x v="1"/>
    <s v="-"/>
    <s v="No"/>
    <n v="0"/>
    <n v="0"/>
    <n v="5"/>
  </r>
  <r>
    <n v="3251"/>
    <s v="Gabriela Santos"/>
    <x v="0"/>
    <d v="2024-03-17T00:00:00"/>
    <x v="1"/>
    <n v="15"/>
    <x v="0"/>
    <x v="0"/>
    <n v="30"/>
    <s v="Yes"/>
    <n v="20"/>
    <n v="3"/>
    <n v="62"/>
  </r>
  <r>
    <n v="3252"/>
    <s v="Henrique Dias"/>
    <x v="2"/>
    <d v="2024-03-18T00:00:00"/>
    <x v="0"/>
    <n v="10"/>
    <x v="2"/>
    <x v="1"/>
    <s v="-"/>
    <s v="Yes"/>
    <n v="20"/>
    <n v="15"/>
    <n v="15"/>
  </r>
  <r>
    <n v="3253"/>
    <s v="Isabela Moreira"/>
    <x v="1"/>
    <d v="2024-03-19T00:00:00"/>
    <x v="1"/>
    <n v="5"/>
    <x v="0"/>
    <x v="1"/>
    <s v="-"/>
    <s v="No"/>
    <n v="0"/>
    <n v="1"/>
    <n v="4"/>
  </r>
  <r>
    <n v="3254"/>
    <s v="Joaquim Barbosa"/>
    <x v="0"/>
    <d v="2024-03-20T00:00:00"/>
    <x v="0"/>
    <n v="15"/>
    <x v="1"/>
    <x v="0"/>
    <n v="30"/>
    <s v="Yes"/>
    <n v="20"/>
    <n v="20"/>
    <n v="45"/>
  </r>
  <r>
    <n v="3255"/>
    <s v="Lara Rocha"/>
    <x v="2"/>
    <d v="2024-03-21T00:00:00"/>
    <x v="1"/>
    <n v="10"/>
    <x v="0"/>
    <x v="1"/>
    <s v="-"/>
    <s v="Yes"/>
    <n v="20"/>
    <n v="10"/>
    <n v="20"/>
  </r>
  <r>
    <n v="3256"/>
    <s v="Matheus Silva"/>
    <x v="1"/>
    <d v="2024-03-22T00:00:00"/>
    <x v="0"/>
    <n v="5"/>
    <x v="2"/>
    <x v="1"/>
    <s v="-"/>
    <s v="No"/>
    <n v="0"/>
    <n v="0"/>
    <n v="5"/>
  </r>
  <r>
    <n v="3257"/>
    <s v="Nicole Costa"/>
    <x v="0"/>
    <d v="2024-03-23T00:00:00"/>
    <x v="1"/>
    <n v="15"/>
    <x v="0"/>
    <x v="0"/>
    <n v="30"/>
    <s v="Yes"/>
    <n v="20"/>
    <n v="5"/>
    <n v="60"/>
  </r>
  <r>
    <n v="3258"/>
    <s v="Otávio Mendonça"/>
    <x v="2"/>
    <d v="2024-03-24T00:00:00"/>
    <x v="0"/>
    <n v="10"/>
    <x v="1"/>
    <x v="1"/>
    <s v="-"/>
    <s v="Yes"/>
    <n v="20"/>
    <n v="15"/>
    <n v="15"/>
  </r>
  <r>
    <n v="3259"/>
    <s v="Paula Ferreira"/>
    <x v="1"/>
    <d v="2024-03-25T00:00:00"/>
    <x v="1"/>
    <n v="5"/>
    <x v="0"/>
    <x v="1"/>
    <s v="-"/>
    <s v="No"/>
    <n v="0"/>
    <n v="1"/>
    <n v="4"/>
  </r>
  <r>
    <n v="3260"/>
    <s v="Raquel Alves"/>
    <x v="0"/>
    <d v="2024-03-26T00:00:00"/>
    <x v="0"/>
    <n v="15"/>
    <x v="2"/>
    <x v="0"/>
    <n v="30"/>
    <s v="Yes"/>
    <n v="20"/>
    <n v="7"/>
    <n v="58"/>
  </r>
  <r>
    <n v="3261"/>
    <s v="Samuel Pires"/>
    <x v="2"/>
    <d v="2024-03-27T00:00:00"/>
    <x v="1"/>
    <n v="10"/>
    <x v="0"/>
    <x v="1"/>
    <s v="-"/>
    <s v="Yes"/>
    <n v="20"/>
    <n v="10"/>
    <n v="20"/>
  </r>
  <r>
    <n v="3262"/>
    <s v="Tânia Barros"/>
    <x v="1"/>
    <d v="2024-03-28T00:00:00"/>
    <x v="0"/>
    <n v="5"/>
    <x v="1"/>
    <x v="1"/>
    <s v="-"/>
    <s v="No"/>
    <n v="0"/>
    <n v="0"/>
    <n v="5"/>
  </r>
  <r>
    <n v="3263"/>
    <s v="Vinicius Lima"/>
    <x v="0"/>
    <d v="2024-03-29T00:00:00"/>
    <x v="1"/>
    <n v="15"/>
    <x v="0"/>
    <x v="0"/>
    <n v="30"/>
    <s v="Yes"/>
    <n v="20"/>
    <n v="3"/>
    <n v="62"/>
  </r>
  <r>
    <n v="3264"/>
    <s v="Yasmin Teixeira"/>
    <x v="2"/>
    <d v="2024-03-30T00:00:00"/>
    <x v="0"/>
    <n v="10"/>
    <x v="2"/>
    <x v="1"/>
    <s v="-"/>
    <s v="Yes"/>
    <n v="20"/>
    <n v="15"/>
    <n v="15"/>
  </r>
  <r>
    <n v="3265"/>
    <s v="Zé Carlos"/>
    <x v="1"/>
    <d v="2024-03-31T00:00:00"/>
    <x v="1"/>
    <n v="5"/>
    <x v="0"/>
    <x v="1"/>
    <s v="-"/>
    <s v="No"/>
    <n v="0"/>
    <n v="1"/>
    <n v="4"/>
  </r>
  <r>
    <n v="3266"/>
    <s v="Amanda Nogueira"/>
    <x v="1"/>
    <d v="2024-04-01T00:00:00"/>
    <x v="0"/>
    <n v="5"/>
    <x v="0"/>
    <x v="1"/>
    <s v="-"/>
    <s v="No"/>
    <n v="0"/>
    <n v="0"/>
    <n v="5"/>
  </r>
  <r>
    <n v="3267"/>
    <s v="Bruno Cavalheiro"/>
    <x v="0"/>
    <d v="2024-04-02T00:00:00"/>
    <x v="1"/>
    <n v="15"/>
    <x v="2"/>
    <x v="0"/>
    <n v="30"/>
    <s v="Yes"/>
    <n v="20"/>
    <n v="7"/>
    <n v="58"/>
  </r>
  <r>
    <n v="3268"/>
    <s v="Carla Dias"/>
    <x v="2"/>
    <d v="2024-04-03T00:00:00"/>
    <x v="0"/>
    <n v="10"/>
    <x v="1"/>
    <x v="1"/>
    <s v="-"/>
    <s v="Yes"/>
    <n v="20"/>
    <n v="10"/>
    <n v="20"/>
  </r>
  <r>
    <n v="3269"/>
    <s v="Diego Fontes"/>
    <x v="1"/>
    <d v="2024-04-04T00:00:00"/>
    <x v="1"/>
    <n v="5"/>
    <x v="2"/>
    <x v="1"/>
    <s v="-"/>
    <s v="No"/>
    <n v="0"/>
    <n v="1"/>
    <n v="4"/>
  </r>
  <r>
    <n v="3270"/>
    <s v="Eunice Lima"/>
    <x v="0"/>
    <d v="2024-04-05T00:00:00"/>
    <x v="0"/>
    <n v="15"/>
    <x v="0"/>
    <x v="0"/>
    <n v="30"/>
    <s v="Yes"/>
    <n v="20"/>
    <n v="15"/>
    <n v="50"/>
  </r>
  <r>
    <n v="3271"/>
    <s v="Fábio Martins"/>
    <x v="2"/>
    <d v="2024-04-06T00:00:00"/>
    <x v="1"/>
    <n v="10"/>
    <x v="0"/>
    <x v="1"/>
    <s v="-"/>
    <s v="Yes"/>
    <n v="20"/>
    <n v="5"/>
    <n v="25"/>
  </r>
  <r>
    <n v="3272"/>
    <s v="Gisele Araújo"/>
    <x v="1"/>
    <d v="2024-04-07T00:00:00"/>
    <x v="0"/>
    <n v="5"/>
    <x v="1"/>
    <x v="1"/>
    <s v="-"/>
    <s v="No"/>
    <n v="0"/>
    <n v="0"/>
    <n v="5"/>
  </r>
  <r>
    <n v="3273"/>
    <s v="Hélio Castro"/>
    <x v="0"/>
    <d v="2024-04-08T00:00:00"/>
    <x v="1"/>
    <n v="15"/>
    <x v="2"/>
    <x v="0"/>
    <n v="30"/>
    <s v="Yes"/>
    <n v="20"/>
    <n v="20"/>
    <n v="45"/>
  </r>
  <r>
    <n v="3274"/>
    <s v="Ingrid Menezes"/>
    <x v="2"/>
    <d v="2024-04-09T00:00:00"/>
    <x v="0"/>
    <n v="10"/>
    <x v="2"/>
    <x v="1"/>
    <s v="-"/>
    <s v="Yes"/>
    <n v="20"/>
    <n v="12"/>
    <n v="18"/>
  </r>
  <r>
    <n v="3275"/>
    <s v="Jorge Baptista"/>
    <x v="1"/>
    <d v="2024-04-10T00:00:00"/>
    <x v="1"/>
    <n v="5"/>
    <x v="0"/>
    <x v="1"/>
    <s v="-"/>
    <s v="No"/>
    <n v="0"/>
    <n v="2"/>
    <n v="3"/>
  </r>
  <r>
    <n v="3276"/>
    <s v="Kléber Oliveira"/>
    <x v="0"/>
    <d v="2024-04-11T00:00:00"/>
    <x v="0"/>
    <n v="15"/>
    <x v="1"/>
    <x v="0"/>
    <n v="30"/>
    <s v="Yes"/>
    <n v="20"/>
    <n v="5"/>
    <n v="60"/>
  </r>
  <r>
    <n v="3277"/>
    <s v="Luciana Freitas"/>
    <x v="2"/>
    <d v="2024-04-12T00:00:00"/>
    <x v="1"/>
    <n v="10"/>
    <x v="0"/>
    <x v="1"/>
    <s v="-"/>
    <s v="Yes"/>
    <n v="20"/>
    <n v="10"/>
    <n v="20"/>
  </r>
  <r>
    <n v="3278"/>
    <s v="Márcia Eller"/>
    <x v="1"/>
    <d v="2024-04-13T00:00:00"/>
    <x v="0"/>
    <n v="5"/>
    <x v="2"/>
    <x v="1"/>
    <s v="-"/>
    <s v="No"/>
    <n v="0"/>
    <n v="0"/>
    <n v="5"/>
  </r>
  <r>
    <n v="3279"/>
    <s v="Nilo Peçanha"/>
    <x v="0"/>
    <d v="2024-04-14T00:00:00"/>
    <x v="1"/>
    <n v="15"/>
    <x v="0"/>
    <x v="0"/>
    <n v="30"/>
    <s v="Yes"/>
    <n v="20"/>
    <n v="3"/>
    <n v="62"/>
  </r>
  <r>
    <n v="3280"/>
    <s v="Oscar Neves"/>
    <x v="2"/>
    <d v="2024-04-15T00:00:00"/>
    <x v="0"/>
    <n v="10"/>
    <x v="1"/>
    <x v="1"/>
    <s v="-"/>
    <s v="Yes"/>
    <n v="20"/>
    <n v="15"/>
    <n v="15"/>
  </r>
  <r>
    <n v="3281"/>
    <s v="Patrícia Soares"/>
    <x v="1"/>
    <d v="2024-04-16T00:00:00"/>
    <x v="1"/>
    <n v="5"/>
    <x v="0"/>
    <x v="1"/>
    <s v="-"/>
    <s v="No"/>
    <n v="0"/>
    <n v="1"/>
    <n v="4"/>
  </r>
  <r>
    <n v="3282"/>
    <s v="Quirino Gonçalves"/>
    <x v="0"/>
    <d v="2024-04-17T00:00:00"/>
    <x v="0"/>
    <n v="15"/>
    <x v="2"/>
    <x v="0"/>
    <n v="30"/>
    <s v="Yes"/>
    <n v="20"/>
    <n v="7"/>
    <n v="58"/>
  </r>
  <r>
    <n v="3283"/>
    <s v="Raul Machado"/>
    <x v="2"/>
    <d v="2024-04-18T00:00:00"/>
    <x v="1"/>
    <n v="10"/>
    <x v="0"/>
    <x v="1"/>
    <s v="-"/>
    <s v="Yes"/>
    <n v="20"/>
    <n v="10"/>
    <n v="20"/>
  </r>
  <r>
    <n v="3284"/>
    <s v="Sônia Lobo"/>
    <x v="1"/>
    <d v="2024-04-19T00:00:00"/>
    <x v="0"/>
    <n v="5"/>
    <x v="1"/>
    <x v="1"/>
    <s v="-"/>
    <s v="No"/>
    <n v="0"/>
    <n v="0"/>
    <n v="5"/>
  </r>
  <r>
    <n v="3285"/>
    <s v="Tiago Ramos"/>
    <x v="0"/>
    <d v="2024-04-20T00:00:00"/>
    <x v="1"/>
    <n v="15"/>
    <x v="0"/>
    <x v="0"/>
    <n v="30"/>
    <s v="Yes"/>
    <n v="20"/>
    <n v="20"/>
    <n v="45"/>
  </r>
  <r>
    <n v="3286"/>
    <s v="Ugo Pires"/>
    <x v="2"/>
    <d v="2024-04-21T00:00:00"/>
    <x v="0"/>
    <n v="10"/>
    <x v="2"/>
    <x v="1"/>
    <s v="-"/>
    <s v="Yes"/>
    <n v="20"/>
    <n v="15"/>
    <n v="15"/>
  </r>
  <r>
    <n v="3287"/>
    <s v="Valéria Nobre"/>
    <x v="1"/>
    <d v="2024-04-22T00:00:00"/>
    <x v="1"/>
    <n v="5"/>
    <x v="0"/>
    <x v="1"/>
    <s v="-"/>
    <s v="No"/>
    <n v="0"/>
    <n v="1"/>
    <n v="4"/>
  </r>
  <r>
    <n v="3288"/>
    <s v="William Siqueira"/>
    <x v="0"/>
    <d v="2024-04-23T00:00:00"/>
    <x v="0"/>
    <n v="15"/>
    <x v="1"/>
    <x v="0"/>
    <n v="30"/>
    <s v="Yes"/>
    <n v="20"/>
    <n v="3"/>
    <n v="62"/>
  </r>
  <r>
    <n v="3289"/>
    <s v="Xuxa Meneghel"/>
    <x v="2"/>
    <d v="2024-04-24T00:00:00"/>
    <x v="1"/>
    <n v="10"/>
    <x v="0"/>
    <x v="1"/>
    <s v="-"/>
    <s v="Yes"/>
    <n v="20"/>
    <n v="10"/>
    <n v="20"/>
  </r>
  <r>
    <n v="3290"/>
    <s v="Yara Figueiredo"/>
    <x v="1"/>
    <d v="2024-04-25T00:00:00"/>
    <x v="0"/>
    <n v="5"/>
    <x v="2"/>
    <x v="1"/>
    <s v="-"/>
    <s v="No"/>
    <n v="0"/>
    <n v="0"/>
    <n v="5"/>
  </r>
  <r>
    <n v="3291"/>
    <s v="Zacarias Alves"/>
    <x v="0"/>
    <d v="2024-04-26T00:00:00"/>
    <x v="1"/>
    <n v="15"/>
    <x v="0"/>
    <x v="0"/>
    <n v="30"/>
    <s v="Yes"/>
    <n v="20"/>
    <n v="5"/>
    <n v="60"/>
  </r>
  <r>
    <n v="3292"/>
    <s v="Amanda Bynes"/>
    <x v="2"/>
    <d v="2024-04-27T00:00:00"/>
    <x v="0"/>
    <n v="10"/>
    <x v="1"/>
    <x v="1"/>
    <s v="-"/>
    <s v="Yes"/>
    <n v="20"/>
    <n v="15"/>
    <n v="15"/>
  </r>
  <r>
    <n v="3293"/>
    <s v="Bruno Mars"/>
    <x v="1"/>
    <d v="2024-04-28T00:00:00"/>
    <x v="1"/>
    <n v="5"/>
    <x v="0"/>
    <x v="1"/>
    <s v="-"/>
    <s v="No"/>
    <n v="0"/>
    <n v="1"/>
    <n v="4"/>
  </r>
  <r>
    <n v="3294"/>
    <s v="Carla Bruni"/>
    <x v="0"/>
    <d v="2024-04-29T00:00:00"/>
    <x v="0"/>
    <n v="15"/>
    <x v="2"/>
    <x v="0"/>
    <n v="30"/>
    <s v="Yes"/>
    <n v="20"/>
    <n v="20"/>
    <n v="45"/>
  </r>
  <r>
    <n v="3295"/>
    <s v="Diego Maradona"/>
    <x v="2"/>
    <d v="2024-04-30T00:00:00"/>
    <x v="1"/>
    <n v="10"/>
    <x v="0"/>
    <x v="1"/>
    <s v="-"/>
    <s v="Yes"/>
    <n v="20"/>
    <n v="5"/>
    <n v="25"/>
  </r>
  <r>
    <n v="3296"/>
    <s v="Estela Marques"/>
    <x v="1"/>
    <d v="2024-05-01T00:00:00"/>
    <x v="1"/>
    <n v="5"/>
    <x v="0"/>
    <x v="1"/>
    <s v="-"/>
    <s v="No"/>
    <n v="0"/>
    <n v="0"/>
    <n v="5"/>
  </r>
  <r>
    <n v="3297"/>
    <s v="Fábio Nobre"/>
    <x v="0"/>
    <d v="2024-05-02T00:00:00"/>
    <x v="0"/>
    <n v="15"/>
    <x v="2"/>
    <x v="0"/>
    <n v="30"/>
    <s v="Yes"/>
    <n v="20"/>
    <n v="7"/>
    <n v="58"/>
  </r>
  <r>
    <n v="3298"/>
    <s v="Gabriel Oliveira"/>
    <x v="2"/>
    <d v="2024-05-03T00:00:00"/>
    <x v="1"/>
    <n v="10"/>
    <x v="1"/>
    <x v="1"/>
    <s v="-"/>
    <s v="Yes"/>
    <n v="20"/>
    <n v="10"/>
    <n v="20"/>
  </r>
  <r>
    <n v="3299"/>
    <s v="Helena Santos"/>
    <x v="1"/>
    <d v="2024-05-04T00:00:00"/>
    <x v="0"/>
    <n v="5"/>
    <x v="2"/>
    <x v="1"/>
    <s v="-"/>
    <s v="No"/>
    <n v="0"/>
    <n v="1"/>
    <n v="4"/>
  </r>
  <r>
    <n v="3300"/>
    <s v="Ivan Carvalho"/>
    <x v="0"/>
    <d v="2024-05-05T00:00:00"/>
    <x v="1"/>
    <n v="15"/>
    <x v="0"/>
    <x v="0"/>
    <n v="30"/>
    <s v="Yes"/>
    <n v="20"/>
    <n v="15"/>
    <n v="50"/>
  </r>
  <r>
    <n v="3301"/>
    <s v="Júlia Ferreira"/>
    <x v="2"/>
    <d v="2024-05-06T00:00:00"/>
    <x v="0"/>
    <n v="10"/>
    <x v="0"/>
    <x v="1"/>
    <s v="-"/>
    <s v="Yes"/>
    <n v="20"/>
    <n v="5"/>
    <n v="25"/>
  </r>
  <r>
    <n v="3302"/>
    <s v="Karla Alves"/>
    <x v="1"/>
    <d v="2024-05-07T00:00:00"/>
    <x v="1"/>
    <n v="5"/>
    <x v="1"/>
    <x v="1"/>
    <s v="-"/>
    <s v="No"/>
    <n v="0"/>
    <n v="0"/>
    <n v="5"/>
  </r>
  <r>
    <n v="3303"/>
    <s v="Lucas Mendes"/>
    <x v="0"/>
    <d v="2024-05-08T00:00:00"/>
    <x v="0"/>
    <n v="15"/>
    <x v="2"/>
    <x v="0"/>
    <n v="30"/>
    <s v="Yes"/>
    <n v="20"/>
    <n v="20"/>
    <n v="45"/>
  </r>
  <r>
    <n v="3304"/>
    <s v="Mônica Gomes"/>
    <x v="2"/>
    <d v="2024-05-09T00:00:00"/>
    <x v="1"/>
    <n v="10"/>
    <x v="2"/>
    <x v="1"/>
    <s v="-"/>
    <s v="Yes"/>
    <n v="20"/>
    <n v="12"/>
    <n v="18"/>
  </r>
  <r>
    <n v="3305"/>
    <s v="Norberto Queiroz"/>
    <x v="1"/>
    <d v="2024-05-10T00:00:00"/>
    <x v="0"/>
    <n v="5"/>
    <x v="0"/>
    <x v="1"/>
    <s v="-"/>
    <s v="No"/>
    <n v="0"/>
    <n v="2"/>
    <n v="3"/>
  </r>
  <r>
    <n v="3306"/>
    <s v="Otávio Barros"/>
    <x v="0"/>
    <d v="2024-05-11T00:00:00"/>
    <x v="1"/>
    <n v="15"/>
    <x v="1"/>
    <x v="0"/>
    <n v="30"/>
    <s v="Yes"/>
    <n v="20"/>
    <n v="5"/>
    <n v="60"/>
  </r>
  <r>
    <n v="3307"/>
    <s v="Paula Vieira"/>
    <x v="2"/>
    <d v="2024-05-12T00:00:00"/>
    <x v="0"/>
    <n v="10"/>
    <x v="0"/>
    <x v="1"/>
    <s v="-"/>
    <s v="Yes"/>
    <n v="20"/>
    <n v="10"/>
    <n v="20"/>
  </r>
  <r>
    <n v="3308"/>
    <s v="Quentin Ramos"/>
    <x v="1"/>
    <d v="2024-05-13T00:00:00"/>
    <x v="1"/>
    <n v="5"/>
    <x v="2"/>
    <x v="1"/>
    <s v="-"/>
    <s v="No"/>
    <n v="0"/>
    <n v="0"/>
    <n v="5"/>
  </r>
  <r>
    <n v="3309"/>
    <s v="Raquel Novaes"/>
    <x v="0"/>
    <d v="2024-05-14T00:00:00"/>
    <x v="0"/>
    <n v="15"/>
    <x v="0"/>
    <x v="0"/>
    <n v="30"/>
    <s v="Yes"/>
    <n v="20"/>
    <n v="3"/>
    <n v="62"/>
  </r>
  <r>
    <n v="3310"/>
    <s v="Samantha Lopes"/>
    <x v="2"/>
    <d v="2024-05-15T00:00:00"/>
    <x v="1"/>
    <n v="10"/>
    <x v="1"/>
    <x v="1"/>
    <s v="-"/>
    <s v="Yes"/>
    <n v="20"/>
    <n v="15"/>
    <n v="15"/>
  </r>
  <r>
    <n v="3311"/>
    <s v="Tiago Martins"/>
    <x v="1"/>
    <d v="2024-05-16T00:00:00"/>
    <x v="0"/>
    <n v="5"/>
    <x v="0"/>
    <x v="1"/>
    <s v="-"/>
    <s v="No"/>
    <n v="0"/>
    <n v="1"/>
    <n v="4"/>
  </r>
  <r>
    <n v="3312"/>
    <s v="Ulysses Guimarães"/>
    <x v="0"/>
    <d v="2024-05-17T00:00:00"/>
    <x v="1"/>
    <n v="15"/>
    <x v="2"/>
    <x v="0"/>
    <n v="30"/>
    <s v="Yes"/>
    <n v="20"/>
    <n v="7"/>
    <n v="58"/>
  </r>
  <r>
    <n v="3313"/>
    <s v="Vanessa Silva"/>
    <x v="2"/>
    <d v="2024-05-18T00:00:00"/>
    <x v="0"/>
    <n v="10"/>
    <x v="0"/>
    <x v="1"/>
    <s v="-"/>
    <s v="Yes"/>
    <n v="20"/>
    <n v="10"/>
    <n v="20"/>
  </r>
  <r>
    <n v="3314"/>
    <s v="William Carneiro"/>
    <x v="1"/>
    <d v="2024-05-19T00:00:00"/>
    <x v="1"/>
    <n v="5"/>
    <x v="1"/>
    <x v="1"/>
    <s v="-"/>
    <s v="No"/>
    <n v="0"/>
    <n v="0"/>
    <n v="5"/>
  </r>
  <r>
    <n v="3315"/>
    <s v="Ximena Rocha"/>
    <x v="0"/>
    <d v="2024-05-20T00:00:00"/>
    <x v="0"/>
    <n v="15"/>
    <x v="0"/>
    <x v="0"/>
    <n v="30"/>
    <s v="Yes"/>
    <n v="20"/>
    <n v="20"/>
    <n v="45"/>
  </r>
  <r>
    <n v="3316"/>
    <s v="Yasmin Figueiredo"/>
    <x v="2"/>
    <d v="2024-05-21T00:00:00"/>
    <x v="1"/>
    <n v="10"/>
    <x v="2"/>
    <x v="1"/>
    <s v="-"/>
    <s v="Yes"/>
    <n v="20"/>
    <n v="15"/>
    <n v="15"/>
  </r>
  <r>
    <n v="3317"/>
    <s v="Zara Cunha"/>
    <x v="1"/>
    <d v="2024-05-22T00:00:00"/>
    <x v="0"/>
    <n v="5"/>
    <x v="0"/>
    <x v="1"/>
    <s v="-"/>
    <s v="No"/>
    <n v="0"/>
    <n v="1"/>
    <n v="4"/>
  </r>
  <r>
    <n v="3318"/>
    <s v="Alan Teixeira"/>
    <x v="0"/>
    <d v="2024-05-23T00:00:00"/>
    <x v="1"/>
    <n v="15"/>
    <x v="1"/>
    <x v="0"/>
    <n v="30"/>
    <s v="Yes"/>
    <n v="20"/>
    <n v="3"/>
    <n v="62"/>
  </r>
  <r>
    <n v="3319"/>
    <s v="Bárbara Oliveira"/>
    <x v="2"/>
    <d v="2024-05-24T00:00:00"/>
    <x v="0"/>
    <n v="10"/>
    <x v="0"/>
    <x v="1"/>
    <s v="-"/>
    <s v="Yes"/>
    <n v="20"/>
    <n v="10"/>
    <n v="20"/>
  </r>
  <r>
    <n v="3320"/>
    <s v="Carlos Junqueira"/>
    <x v="1"/>
    <d v="2024-05-25T00:00:00"/>
    <x v="1"/>
    <n v="5"/>
    <x v="2"/>
    <x v="1"/>
    <s v="-"/>
    <s v="No"/>
    <n v="0"/>
    <n v="0"/>
    <n v="5"/>
  </r>
  <r>
    <n v="3321"/>
    <s v="Daniela Moura"/>
    <x v="0"/>
    <d v="2024-05-26T00:00:00"/>
    <x v="0"/>
    <n v="15"/>
    <x v="0"/>
    <x v="0"/>
    <n v="30"/>
    <s v="Yes"/>
    <n v="20"/>
    <n v="5"/>
    <n v="60"/>
  </r>
  <r>
    <n v="3322"/>
    <s v="Eduardo Lima"/>
    <x v="2"/>
    <d v="2024-05-27T00:00:00"/>
    <x v="1"/>
    <n v="10"/>
    <x v="1"/>
    <x v="1"/>
    <s v="-"/>
    <s v="Yes"/>
    <n v="20"/>
    <n v="15"/>
    <n v="15"/>
  </r>
  <r>
    <n v="3323"/>
    <s v="Fabiana Araújo"/>
    <x v="1"/>
    <d v="2024-05-28T00:00:00"/>
    <x v="0"/>
    <n v="5"/>
    <x v="0"/>
    <x v="1"/>
    <s v="-"/>
    <s v="No"/>
    <n v="0"/>
    <n v="1"/>
    <n v="4"/>
  </r>
  <r>
    <n v="3324"/>
    <s v="Geraldo Ribeiro"/>
    <x v="0"/>
    <d v="2024-05-29T00:00:00"/>
    <x v="1"/>
    <n v="15"/>
    <x v="2"/>
    <x v="0"/>
    <n v="30"/>
    <s v="Yes"/>
    <n v="20"/>
    <n v="20"/>
    <n v="45"/>
  </r>
  <r>
    <n v="3325"/>
    <s v="Héctor Vargas"/>
    <x v="2"/>
    <d v="2024-05-30T00:00:00"/>
    <x v="0"/>
    <n v="10"/>
    <x v="2"/>
    <x v="1"/>
    <s v="-"/>
    <s v="Yes"/>
    <n v="20"/>
    <n v="15"/>
    <n v="15"/>
  </r>
  <r>
    <n v="3326"/>
    <s v="Isabela Fonseca"/>
    <x v="1"/>
    <d v="2024-05-31T00:00:00"/>
    <x v="1"/>
    <n v="5"/>
    <x v="1"/>
    <x v="1"/>
    <s v="-"/>
    <s v="No"/>
    <n v="0"/>
    <n v="0"/>
    <n v="5"/>
  </r>
  <r>
    <n v="3327"/>
    <s v="João Pedro Almeida"/>
    <x v="0"/>
    <d v="2024-06-01T00:00:00"/>
    <x v="0"/>
    <n v="15"/>
    <x v="0"/>
    <x v="0"/>
    <n v="30"/>
    <s v="Yes"/>
    <n v="20"/>
    <n v="7"/>
    <n v="58"/>
  </r>
  <r>
    <n v="3328"/>
    <s v="Klara Costa"/>
    <x v="2"/>
    <d v="2024-06-02T00:00:00"/>
    <x v="1"/>
    <n v="10"/>
    <x v="1"/>
    <x v="1"/>
    <s v="-"/>
    <s v="Yes"/>
    <n v="20"/>
    <n v="10"/>
    <n v="20"/>
  </r>
  <r>
    <n v="3329"/>
    <s v="Luciana Mendes"/>
    <x v="1"/>
    <d v="2024-06-03T00:00:00"/>
    <x v="0"/>
    <n v="5"/>
    <x v="2"/>
    <x v="1"/>
    <s v="-"/>
    <s v="No"/>
    <n v="0"/>
    <n v="1"/>
    <n v="4"/>
  </r>
  <r>
    <n v="3330"/>
    <s v="Marcelo Gouveia"/>
    <x v="0"/>
    <d v="2024-06-04T00:00:00"/>
    <x v="1"/>
    <n v="15"/>
    <x v="0"/>
    <x v="0"/>
    <n v="30"/>
    <s v="Yes"/>
    <n v="20"/>
    <n v="15"/>
    <n v="50"/>
  </r>
  <r>
    <n v="3331"/>
    <s v="Nívea Borges"/>
    <x v="2"/>
    <d v="2024-06-05T00:00:00"/>
    <x v="0"/>
    <n v="10"/>
    <x v="0"/>
    <x v="1"/>
    <s v="-"/>
    <s v="Yes"/>
    <n v="20"/>
    <n v="5"/>
    <n v="25"/>
  </r>
  <r>
    <n v="3332"/>
    <s v="Oscar Nogueira"/>
    <x v="1"/>
    <d v="2024-06-06T00:00:00"/>
    <x v="1"/>
    <n v="5"/>
    <x v="1"/>
    <x v="1"/>
    <s v="-"/>
    <s v="No"/>
    <n v="0"/>
    <n v="0"/>
    <n v="5"/>
  </r>
  <r>
    <n v="3333"/>
    <s v="Patrícia Alves"/>
    <x v="0"/>
    <d v="2024-06-07T00:00:00"/>
    <x v="0"/>
    <n v="15"/>
    <x v="2"/>
    <x v="0"/>
    <n v="30"/>
    <s v="Yes"/>
    <n v="20"/>
    <n v="20"/>
    <n v="45"/>
  </r>
  <r>
    <n v="3334"/>
    <s v="Rafaela Silva"/>
    <x v="2"/>
    <d v="2024-06-08T00:00:00"/>
    <x v="1"/>
    <n v="10"/>
    <x v="2"/>
    <x v="1"/>
    <s v="-"/>
    <s v="Yes"/>
    <n v="20"/>
    <n v="12"/>
    <n v="18"/>
  </r>
  <r>
    <n v="3335"/>
    <s v="Samantha Moraes"/>
    <x v="1"/>
    <d v="2024-06-09T00:00:00"/>
    <x v="0"/>
    <n v="5"/>
    <x v="0"/>
    <x v="1"/>
    <s v="-"/>
    <s v="No"/>
    <n v="0"/>
    <n v="2"/>
    <n v="3"/>
  </r>
  <r>
    <n v="3336"/>
    <s v="Tatiana Rocha"/>
    <x v="1"/>
    <d v="2024-06-10T00:00:00"/>
    <x v="0"/>
    <n v="5"/>
    <x v="0"/>
    <x v="1"/>
    <s v="-"/>
    <s v="No"/>
    <n v="0"/>
    <n v="0"/>
    <n v="5"/>
  </r>
  <r>
    <n v="3337"/>
    <s v="Ulisses Tavares"/>
    <x v="0"/>
    <d v="2024-06-11T00:00:00"/>
    <x v="1"/>
    <n v="15"/>
    <x v="2"/>
    <x v="0"/>
    <n v="30"/>
    <s v="Yes"/>
    <n v="20"/>
    <n v="7"/>
    <n v="58"/>
  </r>
  <r>
    <n v="3338"/>
    <s v="Víctor Lemos"/>
    <x v="2"/>
    <d v="2024-06-12T00:00:00"/>
    <x v="0"/>
    <n v="10"/>
    <x v="1"/>
    <x v="1"/>
    <s v="-"/>
    <s v="Yes"/>
    <n v="20"/>
    <n v="10"/>
    <n v="20"/>
  </r>
  <r>
    <n v="3339"/>
    <s v="Wilma Barros"/>
    <x v="1"/>
    <d v="2024-06-13T00:00:00"/>
    <x v="1"/>
    <n v="5"/>
    <x v="2"/>
    <x v="1"/>
    <s v="-"/>
    <s v="No"/>
    <n v="0"/>
    <n v="1"/>
    <n v="4"/>
  </r>
  <r>
    <n v="3340"/>
    <s v="Xavier Nascimento"/>
    <x v="0"/>
    <d v="2024-06-14T00:00:00"/>
    <x v="0"/>
    <n v="15"/>
    <x v="0"/>
    <x v="0"/>
    <n v="30"/>
    <s v="Yes"/>
    <n v="20"/>
    <n v="15"/>
    <n v="50"/>
  </r>
  <r>
    <n v="3341"/>
    <s v="Yago Pereira"/>
    <x v="2"/>
    <d v="2024-06-15T00:00:00"/>
    <x v="1"/>
    <n v="10"/>
    <x v="0"/>
    <x v="1"/>
    <s v="-"/>
    <s v="Yes"/>
    <n v="20"/>
    <n v="5"/>
    <n v="25"/>
  </r>
  <r>
    <n v="3342"/>
    <s v="Zilda Ferreira"/>
    <x v="1"/>
    <d v="2024-06-16T00:00:00"/>
    <x v="0"/>
    <n v="5"/>
    <x v="1"/>
    <x v="1"/>
    <s v="-"/>
    <s v="No"/>
    <n v="0"/>
    <n v="0"/>
    <n v="5"/>
  </r>
  <r>
    <n v="3343"/>
    <s v="Amanda Lopes"/>
    <x v="0"/>
    <d v="2024-06-17T00:00:00"/>
    <x v="1"/>
    <n v="15"/>
    <x v="2"/>
    <x v="0"/>
    <n v="30"/>
    <s v="Yes"/>
    <n v="20"/>
    <n v="20"/>
    <n v="45"/>
  </r>
  <r>
    <n v="3344"/>
    <s v="Bruno Miranda"/>
    <x v="2"/>
    <d v="2024-06-18T00:00:00"/>
    <x v="0"/>
    <n v="10"/>
    <x v="2"/>
    <x v="1"/>
    <s v="-"/>
    <s v="Yes"/>
    <n v="20"/>
    <n v="12"/>
    <n v="18"/>
  </r>
  <r>
    <n v="3345"/>
    <s v="Célia Torres"/>
    <x v="1"/>
    <d v="2024-06-19T00:00:00"/>
    <x v="1"/>
    <n v="5"/>
    <x v="0"/>
    <x v="1"/>
    <s v="-"/>
    <s v="No"/>
    <n v="0"/>
    <n v="2"/>
    <n v="3"/>
  </r>
  <r>
    <n v="3346"/>
    <s v="Diogo Souza"/>
    <x v="0"/>
    <d v="2024-06-20T00:00:00"/>
    <x v="0"/>
    <n v="15"/>
    <x v="1"/>
    <x v="0"/>
    <n v="30"/>
    <s v="Yes"/>
    <n v="20"/>
    <n v="5"/>
    <n v="60"/>
  </r>
  <r>
    <n v="3347"/>
    <s v="Elisa Castro"/>
    <x v="2"/>
    <d v="2024-06-21T00:00:00"/>
    <x v="1"/>
    <n v="10"/>
    <x v="0"/>
    <x v="1"/>
    <s v="-"/>
    <s v="Yes"/>
    <n v="20"/>
    <n v="10"/>
    <n v="20"/>
  </r>
  <r>
    <n v="3348"/>
    <s v="Fátima Lima"/>
    <x v="1"/>
    <d v="2024-06-22T00:00:00"/>
    <x v="0"/>
    <n v="5"/>
    <x v="2"/>
    <x v="1"/>
    <s v="-"/>
    <s v="No"/>
    <n v="0"/>
    <n v="0"/>
    <n v="5"/>
  </r>
  <r>
    <n v="3349"/>
    <s v="Geraldo Ribeiro"/>
    <x v="0"/>
    <d v="2024-06-23T00:00:00"/>
    <x v="1"/>
    <n v="15"/>
    <x v="0"/>
    <x v="0"/>
    <n v="30"/>
    <s v="Yes"/>
    <n v="20"/>
    <n v="3"/>
    <n v="62"/>
  </r>
  <r>
    <n v="3350"/>
    <s v="Hélio Martins"/>
    <x v="2"/>
    <d v="2024-06-24T00:00:00"/>
    <x v="0"/>
    <n v="10"/>
    <x v="1"/>
    <x v="1"/>
    <s v="-"/>
    <s v="Yes"/>
    <n v="20"/>
    <n v="15"/>
    <n v="15"/>
  </r>
  <r>
    <n v="3351"/>
    <s v="Íris Santos"/>
    <x v="1"/>
    <d v="2024-06-25T00:00:00"/>
    <x v="1"/>
    <n v="5"/>
    <x v="0"/>
    <x v="1"/>
    <s v="-"/>
    <s v="No"/>
    <n v="0"/>
    <n v="1"/>
    <n v="4"/>
  </r>
  <r>
    <n v="3352"/>
    <s v="João Marcelo"/>
    <x v="0"/>
    <d v="2024-06-26T00:00:00"/>
    <x v="0"/>
    <n v="15"/>
    <x v="2"/>
    <x v="0"/>
    <n v="30"/>
    <s v="Yes"/>
    <n v="20"/>
    <n v="7"/>
    <n v="58"/>
  </r>
  <r>
    <n v="3353"/>
    <s v="Larissa Gomes"/>
    <x v="2"/>
    <d v="2024-06-27T00:00:00"/>
    <x v="1"/>
    <n v="10"/>
    <x v="0"/>
    <x v="1"/>
    <s v="-"/>
    <s v="Yes"/>
    <n v="20"/>
    <n v="10"/>
    <n v="20"/>
  </r>
  <r>
    <n v="3354"/>
    <s v="Márcio Silva"/>
    <x v="1"/>
    <d v="2024-06-28T00:00:00"/>
    <x v="0"/>
    <n v="5"/>
    <x v="1"/>
    <x v="1"/>
    <s v="-"/>
    <s v="No"/>
    <n v="0"/>
    <n v="0"/>
    <n v="5"/>
  </r>
  <r>
    <n v="3355"/>
    <s v="Nadia Costa"/>
    <x v="0"/>
    <d v="2024-06-29T00:00:00"/>
    <x v="1"/>
    <n v="15"/>
    <x v="0"/>
    <x v="0"/>
    <n v="30"/>
    <s v="Yes"/>
    <n v="20"/>
    <n v="20"/>
    <n v="45"/>
  </r>
  <r>
    <n v="3356"/>
    <s v="Oscar Almeida"/>
    <x v="2"/>
    <d v="2024-06-30T00:00:00"/>
    <x v="0"/>
    <n v="10"/>
    <x v="2"/>
    <x v="1"/>
    <s v="-"/>
    <s v="Yes"/>
    <n v="20"/>
    <n v="15"/>
    <n v="15"/>
  </r>
  <r>
    <n v="3357"/>
    <s v="Patricia Soares"/>
    <x v="1"/>
    <d v="2024-07-01T00:00:00"/>
    <x v="1"/>
    <n v="5"/>
    <x v="0"/>
    <x v="1"/>
    <s v="-"/>
    <s v="No"/>
    <n v="0"/>
    <n v="1"/>
    <n v="4"/>
  </r>
  <r>
    <n v="3358"/>
    <s v="Quênia Barros"/>
    <x v="0"/>
    <d v="2024-07-02T00:00:00"/>
    <x v="0"/>
    <n v="15"/>
    <x v="1"/>
    <x v="0"/>
    <n v="30"/>
    <s v="Yes"/>
    <n v="20"/>
    <n v="3"/>
    <n v="62"/>
  </r>
  <r>
    <n v="3359"/>
    <s v="Rafael Torres"/>
    <x v="2"/>
    <d v="2024-07-03T00:00:00"/>
    <x v="1"/>
    <n v="10"/>
    <x v="0"/>
    <x v="1"/>
    <s v="-"/>
    <s v="Yes"/>
    <n v="20"/>
    <n v="10"/>
    <n v="20"/>
  </r>
  <r>
    <n v="3360"/>
    <s v="Silvia Nascimento"/>
    <x v="1"/>
    <d v="2024-07-04T00:00:00"/>
    <x v="0"/>
    <n v="5"/>
    <x v="2"/>
    <x v="1"/>
    <s v="-"/>
    <s v="No"/>
    <n v="0"/>
    <n v="0"/>
    <n v="5"/>
  </r>
  <r>
    <n v="3361"/>
    <s v="Tiago Mendes"/>
    <x v="0"/>
    <d v="2024-07-05T00:00:00"/>
    <x v="1"/>
    <n v="15"/>
    <x v="0"/>
    <x v="0"/>
    <n v="30"/>
    <s v="Yes"/>
    <n v="20"/>
    <n v="15"/>
    <n v="50"/>
  </r>
  <r>
    <n v="3362"/>
    <s v="Ursula Silva"/>
    <x v="2"/>
    <d v="2024-07-06T00:00:00"/>
    <x v="0"/>
    <n v="10"/>
    <x v="1"/>
    <x v="1"/>
    <s v="-"/>
    <s v="Yes"/>
    <n v="20"/>
    <n v="15"/>
    <n v="15"/>
  </r>
  <r>
    <n v="3363"/>
    <s v="Vanessa Moraes"/>
    <x v="1"/>
    <d v="2024-07-07T00:00:00"/>
    <x v="1"/>
    <n v="5"/>
    <x v="0"/>
    <x v="1"/>
    <s v="-"/>
    <s v="No"/>
    <n v="0"/>
    <n v="1"/>
    <n v="4"/>
  </r>
  <r>
    <n v="3364"/>
    <s v="Waldir Junior"/>
    <x v="0"/>
    <d v="2024-07-08T00:00:00"/>
    <x v="0"/>
    <n v="15"/>
    <x v="2"/>
    <x v="0"/>
    <n v="30"/>
    <s v="Yes"/>
    <n v="20"/>
    <n v="7"/>
    <n v="58"/>
  </r>
  <r>
    <n v="3365"/>
    <s v="Xavier Lopes"/>
    <x v="2"/>
    <d v="2024-07-09T00:00:00"/>
    <x v="1"/>
    <n v="10"/>
    <x v="0"/>
    <x v="1"/>
    <s v="-"/>
    <s v="Yes"/>
    <n v="20"/>
    <n v="10"/>
    <n v="20"/>
  </r>
  <r>
    <n v="3366"/>
    <s v="Yolanda Freitas"/>
    <x v="1"/>
    <d v="2024-07-10T00:00:00"/>
    <x v="0"/>
    <n v="5"/>
    <x v="0"/>
    <x v="1"/>
    <s v="-"/>
    <s v="No"/>
    <n v="0"/>
    <n v="0"/>
    <n v="5"/>
  </r>
  <r>
    <n v="3367"/>
    <s v="Zacarias Nunes"/>
    <x v="0"/>
    <d v="2024-07-11T00:00:00"/>
    <x v="1"/>
    <n v="15"/>
    <x v="2"/>
    <x v="0"/>
    <n v="30"/>
    <s v="Yes"/>
    <n v="20"/>
    <n v="7"/>
    <n v="58"/>
  </r>
  <r>
    <n v="3368"/>
    <s v="Ana Clara Barreto"/>
    <x v="2"/>
    <d v="2024-07-12T00:00:00"/>
    <x v="0"/>
    <n v="10"/>
    <x v="1"/>
    <x v="1"/>
    <s v="-"/>
    <s v="Yes"/>
    <n v="20"/>
    <n v="10"/>
    <n v="20"/>
  </r>
  <r>
    <n v="3369"/>
    <s v="Bruno Henrique"/>
    <x v="1"/>
    <d v="2024-07-13T00:00:00"/>
    <x v="1"/>
    <n v="5"/>
    <x v="2"/>
    <x v="1"/>
    <s v="-"/>
    <s v="No"/>
    <n v="0"/>
    <n v="1"/>
    <n v="4"/>
  </r>
  <r>
    <n v="3370"/>
    <s v="Carlos Eduardo"/>
    <x v="0"/>
    <d v="2024-07-14T00:00:00"/>
    <x v="0"/>
    <n v="15"/>
    <x v="0"/>
    <x v="0"/>
    <n v="30"/>
    <s v="Yes"/>
    <n v="20"/>
    <n v="15"/>
    <n v="50"/>
  </r>
  <r>
    <n v="3371"/>
    <s v="Débora Lima"/>
    <x v="2"/>
    <d v="2024-07-15T00:00:00"/>
    <x v="1"/>
    <n v="10"/>
    <x v="0"/>
    <x v="1"/>
    <s v="-"/>
    <s v="Yes"/>
    <n v="20"/>
    <n v="5"/>
    <n v="25"/>
  </r>
  <r>
    <n v="3372"/>
    <s v="Elisa Neves"/>
    <x v="1"/>
    <d v="2024-07-16T00:00:00"/>
    <x v="0"/>
    <n v="5"/>
    <x v="1"/>
    <x v="1"/>
    <s v="-"/>
    <s v="No"/>
    <n v="0"/>
    <n v="0"/>
    <n v="5"/>
  </r>
  <r>
    <n v="3373"/>
    <s v="Fabiano Gomes"/>
    <x v="0"/>
    <d v="2024-07-17T00:00:00"/>
    <x v="1"/>
    <n v="15"/>
    <x v="2"/>
    <x v="0"/>
    <n v="30"/>
    <s v="Yes"/>
    <n v="20"/>
    <n v="20"/>
    <n v="45"/>
  </r>
  <r>
    <n v="3374"/>
    <s v="Gisele Oliveira"/>
    <x v="2"/>
    <d v="2024-07-18T00:00:00"/>
    <x v="0"/>
    <n v="10"/>
    <x v="2"/>
    <x v="1"/>
    <s v="-"/>
    <s v="Yes"/>
    <n v="20"/>
    <n v="12"/>
    <n v="18"/>
  </r>
  <r>
    <n v="3375"/>
    <s v="Héctor Silva"/>
    <x v="1"/>
    <d v="2024-07-19T00:00:00"/>
    <x v="1"/>
    <n v="5"/>
    <x v="0"/>
    <x v="1"/>
    <s v="-"/>
    <s v="No"/>
    <n v="0"/>
    <n v="2"/>
    <n v="3"/>
  </r>
  <r>
    <n v="3376"/>
    <s v="Igor Martins"/>
    <x v="0"/>
    <d v="2024-07-20T00:00:00"/>
    <x v="0"/>
    <n v="15"/>
    <x v="1"/>
    <x v="0"/>
    <n v="30"/>
    <s v="Yes"/>
    <n v="20"/>
    <n v="5"/>
    <n v="60"/>
  </r>
  <r>
    <n v="3377"/>
    <s v="Joana Figueiredo"/>
    <x v="2"/>
    <d v="2024-07-21T00:00:00"/>
    <x v="1"/>
    <n v="10"/>
    <x v="0"/>
    <x v="1"/>
    <s v="-"/>
    <s v="Yes"/>
    <n v="20"/>
    <n v="10"/>
    <n v="20"/>
  </r>
  <r>
    <n v="3378"/>
    <s v="Kleber Machado"/>
    <x v="1"/>
    <d v="2024-07-22T00:00:00"/>
    <x v="0"/>
    <n v="5"/>
    <x v="2"/>
    <x v="1"/>
    <s v="-"/>
    <s v="No"/>
    <n v="0"/>
    <n v="0"/>
    <n v="5"/>
  </r>
  <r>
    <n v="3379"/>
    <s v="Luciana Santos"/>
    <x v="0"/>
    <d v="2024-07-23T00:00:00"/>
    <x v="1"/>
    <n v="15"/>
    <x v="0"/>
    <x v="0"/>
    <n v="30"/>
    <s v="Yes"/>
    <n v="20"/>
    <n v="3"/>
    <n v="62"/>
  </r>
  <r>
    <n v="3380"/>
    <s v="Marcos Teixeira"/>
    <x v="2"/>
    <d v="2024-07-24T00:00:00"/>
    <x v="0"/>
    <n v="10"/>
    <x v="1"/>
    <x v="1"/>
    <s v="-"/>
    <s v="Yes"/>
    <n v="20"/>
    <n v="15"/>
    <n v="15"/>
  </r>
  <r>
    <n v="3381"/>
    <s v="Natalia Costa"/>
    <x v="1"/>
    <d v="2024-07-25T00:00:00"/>
    <x v="1"/>
    <n v="5"/>
    <x v="0"/>
    <x v="1"/>
    <s v="-"/>
    <s v="No"/>
    <n v="0"/>
    <n v="1"/>
    <n v="4"/>
  </r>
  <r>
    <n v="3382"/>
    <s v="Oscar Ribeiro"/>
    <x v="0"/>
    <d v="2024-07-26T00:00:00"/>
    <x v="0"/>
    <n v="15"/>
    <x v="2"/>
    <x v="0"/>
    <n v="30"/>
    <s v="Yes"/>
    <n v="20"/>
    <n v="7"/>
    <n v="58"/>
  </r>
  <r>
    <n v="3383"/>
    <s v="Patricia Almeida"/>
    <x v="2"/>
    <d v="2024-07-27T00:00:00"/>
    <x v="1"/>
    <n v="10"/>
    <x v="0"/>
    <x v="1"/>
    <s v="-"/>
    <s v="Yes"/>
    <n v="20"/>
    <n v="10"/>
    <n v="20"/>
  </r>
  <r>
    <n v="3384"/>
    <s v="Quirino Junior"/>
    <x v="1"/>
    <d v="2024-07-28T00:00:00"/>
    <x v="0"/>
    <n v="5"/>
    <x v="1"/>
    <x v="1"/>
    <s v="-"/>
    <s v="No"/>
    <n v="0"/>
    <n v="0"/>
    <n v="5"/>
  </r>
  <r>
    <n v="3385"/>
    <s v="Renata Machado"/>
    <x v="0"/>
    <d v="2024-07-29T00:00:00"/>
    <x v="1"/>
    <n v="15"/>
    <x v="0"/>
    <x v="0"/>
    <n v="30"/>
    <s v="Yes"/>
    <n v="20"/>
    <n v="20"/>
    <n v="45"/>
  </r>
  <r>
    <n v="3386"/>
    <s v="Sônia Alves"/>
    <x v="2"/>
    <d v="2024-07-30T00:00:00"/>
    <x v="0"/>
    <n v="10"/>
    <x v="2"/>
    <x v="1"/>
    <s v="-"/>
    <s v="Yes"/>
    <n v="20"/>
    <n v="15"/>
    <n v="15"/>
  </r>
  <r>
    <n v="3387"/>
    <s v="Tiago Nunes"/>
    <x v="1"/>
    <d v="2024-07-31T00:00:00"/>
    <x v="1"/>
    <n v="5"/>
    <x v="0"/>
    <x v="1"/>
    <s v="-"/>
    <s v="No"/>
    <n v="0"/>
    <n v="1"/>
    <n v="4"/>
  </r>
  <r>
    <n v="3388"/>
    <s v="Ulysses Pereira"/>
    <x v="0"/>
    <d v="2024-08-01T00:00:00"/>
    <x v="0"/>
    <n v="15"/>
    <x v="1"/>
    <x v="0"/>
    <n v="30"/>
    <s v="Yes"/>
    <n v="20"/>
    <n v="3"/>
    <n v="62"/>
  </r>
  <r>
    <n v="3389"/>
    <s v="Vanessa Lima"/>
    <x v="2"/>
    <d v="2024-08-02T00:00:00"/>
    <x v="1"/>
    <n v="10"/>
    <x v="0"/>
    <x v="1"/>
    <s v="-"/>
    <s v="Yes"/>
    <n v="20"/>
    <n v="10"/>
    <n v="20"/>
  </r>
  <r>
    <n v="3390"/>
    <s v="Wagner Santos"/>
    <x v="1"/>
    <d v="2024-08-03T00:00:00"/>
    <x v="0"/>
    <n v="5"/>
    <x v="2"/>
    <x v="1"/>
    <s v="-"/>
    <s v="No"/>
    <n v="0"/>
    <n v="0"/>
    <n v="5"/>
  </r>
  <r>
    <n v="3391"/>
    <s v="Xuxa Meneghel"/>
    <x v="0"/>
    <d v="2024-08-04T00:00:00"/>
    <x v="1"/>
    <n v="15"/>
    <x v="0"/>
    <x v="0"/>
    <n v="30"/>
    <s v="Yes"/>
    <n v="20"/>
    <n v="15"/>
    <n v="50"/>
  </r>
  <r>
    <n v="3392"/>
    <s v="Yasmin Silva"/>
    <x v="2"/>
    <d v="2024-08-05T00:00:00"/>
    <x v="0"/>
    <n v="10"/>
    <x v="1"/>
    <x v="1"/>
    <s v="-"/>
    <s v="Yes"/>
    <n v="20"/>
    <n v="15"/>
    <n v="15"/>
  </r>
  <r>
    <n v="3393"/>
    <s v="Zacarias de Souza"/>
    <x v="1"/>
    <d v="2024-08-06T00:00:00"/>
    <x v="1"/>
    <n v="5"/>
    <x v="0"/>
    <x v="1"/>
    <s v="-"/>
    <s v="No"/>
    <n v="0"/>
    <n v="1"/>
    <n v="4"/>
  </r>
  <r>
    <n v="3394"/>
    <s v="André Lima"/>
    <x v="0"/>
    <d v="2024-08-07T00:00:00"/>
    <x v="0"/>
    <n v="15"/>
    <x v="2"/>
    <x v="0"/>
    <n v="30"/>
    <s v="Yes"/>
    <n v="20"/>
    <n v="7"/>
    <n v="58"/>
  </r>
  <r>
    <n v="3395"/>
    <s v="Bianca Freitas"/>
    <x v="2"/>
    <d v="2024-08-08T00:00:00"/>
    <x v="1"/>
    <n v="10"/>
    <x v="0"/>
    <x v="1"/>
    <s v="-"/>
    <s v="Yes"/>
    <n v="20"/>
    <n v="10"/>
    <n v="20"/>
  </r>
  <r>
    <n v="3396"/>
    <s v="Caio Mendes"/>
    <x v="1"/>
    <d v="2024-08-09T00:00:00"/>
    <x v="0"/>
    <n v="5"/>
    <x v="1"/>
    <x v="1"/>
    <s v="-"/>
    <s v="No"/>
    <n v="0"/>
    <n v="0"/>
    <n v="5"/>
  </r>
  <r>
    <n v="3397"/>
    <s v="Daniela Moura"/>
    <x v="0"/>
    <d v="2024-08-10T00:00:00"/>
    <x v="1"/>
    <n v="15"/>
    <x v="0"/>
    <x v="0"/>
    <n v="30"/>
    <s v="Yes"/>
    <n v="20"/>
    <n v="20"/>
    <n v="45"/>
  </r>
  <r>
    <n v="3398"/>
    <s v="Eduardo Costa"/>
    <x v="2"/>
    <d v="2024-08-11T00:00:00"/>
    <x v="0"/>
    <n v="10"/>
    <x v="2"/>
    <x v="1"/>
    <s v="-"/>
    <s v="Yes"/>
    <n v="20"/>
    <n v="15"/>
    <n v="15"/>
  </r>
  <r>
    <n v="3399"/>
    <s v="Fernanda Gomes"/>
    <x v="1"/>
    <d v="2024-08-12T00:00:00"/>
    <x v="1"/>
    <n v="5"/>
    <x v="0"/>
    <x v="1"/>
    <s v="-"/>
    <s v="No"/>
    <n v="0"/>
    <n v="1"/>
    <n v="4"/>
  </r>
  <r>
    <n v="3400"/>
    <s v="Guilherme Souza"/>
    <x v="0"/>
    <d v="2024-08-13T00:00:00"/>
    <x v="0"/>
    <n v="15"/>
    <x v="1"/>
    <x v="0"/>
    <n v="30"/>
    <s v="Yes"/>
    <n v="20"/>
    <n v="5"/>
    <n v="60"/>
  </r>
  <r>
    <n v="3401"/>
    <s v="Helena Ribeiro"/>
    <x v="2"/>
    <d v="2024-08-14T00:00:00"/>
    <x v="1"/>
    <n v="10"/>
    <x v="0"/>
    <x v="1"/>
    <s v="-"/>
    <s v="Yes"/>
    <n v="20"/>
    <n v="10"/>
    <n v="20"/>
  </r>
  <r>
    <n v="3402"/>
    <s v="Igor Santos"/>
    <x v="1"/>
    <d v="2024-08-15T00:00:00"/>
    <x v="0"/>
    <n v="5"/>
    <x v="2"/>
    <x v="1"/>
    <s v="-"/>
    <s v="No"/>
    <n v="0"/>
    <n v="0"/>
    <n v="5"/>
  </r>
  <r>
    <n v="3403"/>
    <s v="João Carvalho"/>
    <x v="0"/>
    <d v="2024-08-16T00:00:00"/>
    <x v="1"/>
    <n v="15"/>
    <x v="0"/>
    <x v="0"/>
    <n v="30"/>
    <s v="Yes"/>
    <n v="20"/>
    <n v="3"/>
    <n v="62"/>
  </r>
  <r>
    <n v="3404"/>
    <s v="Klara Fagundes"/>
    <x v="2"/>
    <d v="2024-08-17T00:00:00"/>
    <x v="0"/>
    <n v="10"/>
    <x v="1"/>
    <x v="1"/>
    <s v="-"/>
    <s v="Yes"/>
    <n v="20"/>
    <n v="15"/>
    <n v="15"/>
  </r>
  <r>
    <n v="3405"/>
    <s v="Lúcia Mendonça"/>
    <x v="1"/>
    <d v="2024-08-18T00:00:00"/>
    <x v="1"/>
    <n v="5"/>
    <x v="0"/>
    <x v="1"/>
    <s v="-"/>
    <s v="No"/>
    <n v="0"/>
    <n v="1"/>
    <n v="4"/>
  </r>
  <r>
    <n v="3406"/>
    <s v="Marcelo Novaes"/>
    <x v="1"/>
    <d v="2024-08-19T00:00:00"/>
    <x v="0"/>
    <n v="5"/>
    <x v="0"/>
    <x v="1"/>
    <s v="-"/>
    <s v="No"/>
    <n v="0"/>
    <n v="0"/>
    <n v="5"/>
  </r>
  <r>
    <n v="3407"/>
    <s v="Nina Pacheco"/>
    <x v="0"/>
    <d v="2024-08-20T00:00:00"/>
    <x v="1"/>
    <n v="15"/>
    <x v="2"/>
    <x v="0"/>
    <n v="30"/>
    <s v="Yes"/>
    <n v="20"/>
    <n v="7"/>
    <n v="58"/>
  </r>
  <r>
    <n v="3408"/>
    <s v="Olívia Rios"/>
    <x v="2"/>
    <d v="2024-08-21T00:00:00"/>
    <x v="0"/>
    <n v="10"/>
    <x v="1"/>
    <x v="1"/>
    <s v="-"/>
    <s v="Yes"/>
    <n v="20"/>
    <n v="10"/>
    <n v="20"/>
  </r>
  <r>
    <n v="3409"/>
    <s v="Paulo Quintana"/>
    <x v="1"/>
    <d v="2024-08-22T00:00:00"/>
    <x v="1"/>
    <n v="5"/>
    <x v="2"/>
    <x v="1"/>
    <s v="-"/>
    <s v="No"/>
    <n v="0"/>
    <n v="1"/>
    <n v="4"/>
  </r>
  <r>
    <n v="3410"/>
    <s v="Raquel Domingos"/>
    <x v="0"/>
    <d v="2024-08-23T00:00:00"/>
    <x v="0"/>
    <n v="15"/>
    <x v="0"/>
    <x v="0"/>
    <n v="30"/>
    <s v="Yes"/>
    <n v="20"/>
    <n v="15"/>
    <n v="50"/>
  </r>
  <r>
    <n v="3411"/>
    <s v="Samuel Viana"/>
    <x v="2"/>
    <d v="2024-08-24T00:00:00"/>
    <x v="1"/>
    <n v="10"/>
    <x v="0"/>
    <x v="1"/>
    <s v="-"/>
    <s v="Yes"/>
    <n v="20"/>
    <n v="5"/>
    <n v="25"/>
  </r>
  <r>
    <n v="3412"/>
    <s v="Tatiane Rocha"/>
    <x v="1"/>
    <d v="2024-08-25T00:00:00"/>
    <x v="0"/>
    <n v="5"/>
    <x v="1"/>
    <x v="1"/>
    <s v="-"/>
    <s v="No"/>
    <n v="0"/>
    <n v="0"/>
    <n v="5"/>
  </r>
  <r>
    <n v="3413"/>
    <s v="Ulysses Farias"/>
    <x v="0"/>
    <d v="2024-08-26T00:00:00"/>
    <x v="1"/>
    <n v="15"/>
    <x v="2"/>
    <x v="0"/>
    <n v="30"/>
    <s v="Yes"/>
    <n v="20"/>
    <n v="20"/>
    <n v="45"/>
  </r>
  <r>
    <n v="3414"/>
    <s v="Vanessa Moreira"/>
    <x v="2"/>
    <d v="2024-08-27T00:00:00"/>
    <x v="0"/>
    <n v="10"/>
    <x v="2"/>
    <x v="1"/>
    <s v="-"/>
    <s v="Yes"/>
    <n v="20"/>
    <n v="12"/>
    <n v="18"/>
  </r>
  <r>
    <n v="3415"/>
    <s v="William Carvalho"/>
    <x v="1"/>
    <d v="2024-08-28T00:00:00"/>
    <x v="1"/>
    <n v="5"/>
    <x v="0"/>
    <x v="1"/>
    <s v="-"/>
    <s v="No"/>
    <n v="0"/>
    <n v="2"/>
    <n v="3"/>
  </r>
  <r>
    <n v="3416"/>
    <s v="Ximena Barros"/>
    <x v="0"/>
    <d v="2024-08-29T00:00:00"/>
    <x v="0"/>
    <n v="15"/>
    <x v="1"/>
    <x v="0"/>
    <n v="30"/>
    <s v="Yes"/>
    <n v="20"/>
    <n v="5"/>
    <n v="60"/>
  </r>
  <r>
    <n v="3417"/>
    <s v="Yara Machado"/>
    <x v="2"/>
    <d v="2024-08-30T00:00:00"/>
    <x v="1"/>
    <n v="10"/>
    <x v="0"/>
    <x v="1"/>
    <s v="-"/>
    <s v="Yes"/>
    <n v="20"/>
    <n v="10"/>
    <n v="20"/>
  </r>
  <r>
    <n v="3418"/>
    <s v="Zacarias Costa"/>
    <x v="1"/>
    <d v="2024-08-31T00:00:00"/>
    <x v="0"/>
    <n v="5"/>
    <x v="2"/>
    <x v="1"/>
    <s v="-"/>
    <s v="No"/>
    <n v="0"/>
    <n v="0"/>
    <n v="5"/>
  </r>
  <r>
    <n v="3419"/>
    <s v="André Lopes"/>
    <x v="0"/>
    <d v="2024-09-01T00:00:00"/>
    <x v="1"/>
    <n v="15"/>
    <x v="0"/>
    <x v="0"/>
    <n v="30"/>
    <s v="Yes"/>
    <n v="20"/>
    <n v="3"/>
    <n v="62"/>
  </r>
  <r>
    <n v="3420"/>
    <s v="Beatriz Souza"/>
    <x v="2"/>
    <d v="2024-09-02T00:00:00"/>
    <x v="0"/>
    <n v="10"/>
    <x v="1"/>
    <x v="1"/>
    <s v="-"/>
    <s v="Yes"/>
    <n v="20"/>
    <n v="15"/>
    <n v="15"/>
  </r>
  <r>
    <n v="3421"/>
    <s v="Caio Pereira"/>
    <x v="1"/>
    <d v="2024-09-03T00:00:00"/>
    <x v="1"/>
    <n v="5"/>
    <x v="0"/>
    <x v="1"/>
    <s v="-"/>
    <s v="No"/>
    <n v="0"/>
    <n v="1"/>
    <n v="4"/>
  </r>
  <r>
    <n v="3422"/>
    <s v="Daniela Araújo"/>
    <x v="0"/>
    <d v="2024-09-04T00:00:00"/>
    <x v="0"/>
    <n v="15"/>
    <x v="2"/>
    <x v="0"/>
    <n v="30"/>
    <s v="Yes"/>
    <n v="20"/>
    <n v="7"/>
    <n v="58"/>
  </r>
  <r>
    <n v="3423"/>
    <s v="Eduardo Santos"/>
    <x v="2"/>
    <d v="2024-09-05T00:00:00"/>
    <x v="1"/>
    <n v="10"/>
    <x v="0"/>
    <x v="1"/>
    <s v="-"/>
    <s v="Yes"/>
    <n v="20"/>
    <n v="10"/>
    <n v="20"/>
  </r>
  <r>
    <n v="3424"/>
    <s v="Fernanda Lima"/>
    <x v="1"/>
    <d v="2024-09-06T00:00:00"/>
    <x v="0"/>
    <n v="5"/>
    <x v="1"/>
    <x v="1"/>
    <s v="-"/>
    <s v="No"/>
    <n v="0"/>
    <n v="0"/>
    <n v="5"/>
  </r>
  <r>
    <n v="3425"/>
    <s v="Gabriel Teixeira"/>
    <x v="0"/>
    <d v="2024-09-07T00:00:00"/>
    <x v="1"/>
    <n v="15"/>
    <x v="0"/>
    <x v="0"/>
    <n v="30"/>
    <s v="Yes"/>
    <n v="20"/>
    <n v="20"/>
    <n v="45"/>
  </r>
  <r>
    <n v="3426"/>
    <s v="Helena Ribeiro"/>
    <x v="2"/>
    <d v="2024-09-08T00:00:00"/>
    <x v="0"/>
    <n v="10"/>
    <x v="2"/>
    <x v="1"/>
    <s v="-"/>
    <s v="Yes"/>
    <n v="20"/>
    <n v="15"/>
    <n v="15"/>
  </r>
  <r>
    <n v="3427"/>
    <s v="Igor Mendes"/>
    <x v="1"/>
    <d v="2024-09-09T00:00:00"/>
    <x v="1"/>
    <n v="5"/>
    <x v="0"/>
    <x v="1"/>
    <s v="-"/>
    <s v="No"/>
    <n v="0"/>
    <n v="1"/>
    <n v="4"/>
  </r>
  <r>
    <n v="3428"/>
    <s v="Joana Silveira"/>
    <x v="0"/>
    <d v="2024-09-10T00:00:00"/>
    <x v="0"/>
    <n v="15"/>
    <x v="1"/>
    <x v="0"/>
    <n v="30"/>
    <s v="Yes"/>
    <n v="20"/>
    <n v="3"/>
    <n v="62"/>
  </r>
  <r>
    <n v="3429"/>
    <s v="Lucas Martins"/>
    <x v="2"/>
    <d v="2024-09-11T00:00:00"/>
    <x v="1"/>
    <n v="10"/>
    <x v="0"/>
    <x v="1"/>
    <s v="-"/>
    <s v="Yes"/>
    <n v="20"/>
    <n v="10"/>
    <n v="20"/>
  </r>
  <r>
    <n v="3430"/>
    <s v="Marcela Gouveia"/>
    <x v="1"/>
    <d v="2024-09-12T00:00:00"/>
    <x v="0"/>
    <n v="5"/>
    <x v="2"/>
    <x v="1"/>
    <s v="-"/>
    <s v="No"/>
    <n v="0"/>
    <n v="0"/>
    <n v="5"/>
  </r>
  <r>
    <n v="3431"/>
    <s v="Nicolas Borges"/>
    <x v="0"/>
    <d v="2024-09-13T00:00:00"/>
    <x v="1"/>
    <n v="15"/>
    <x v="0"/>
    <x v="0"/>
    <n v="30"/>
    <s v="Yes"/>
    <n v="20"/>
    <n v="15"/>
    <n v="50"/>
  </r>
  <r>
    <n v="3432"/>
    <s v="Olivia Freitas"/>
    <x v="2"/>
    <d v="2024-09-14T00:00:00"/>
    <x v="0"/>
    <n v="10"/>
    <x v="1"/>
    <x v="1"/>
    <s v="-"/>
    <s v="Yes"/>
    <n v="20"/>
    <n v="15"/>
    <n v="15"/>
  </r>
  <r>
    <n v="3433"/>
    <s v="Paulo Nogueira"/>
    <x v="1"/>
    <d v="2024-09-15T00:00:00"/>
    <x v="1"/>
    <n v="5"/>
    <x v="0"/>
    <x v="1"/>
    <s v="-"/>
    <s v="No"/>
    <n v="0"/>
    <n v="1"/>
    <n v="4"/>
  </r>
  <r>
    <n v="3434"/>
    <s v="Raquel Andrade"/>
    <x v="0"/>
    <d v="2024-09-16T00:00:00"/>
    <x v="0"/>
    <n v="15"/>
    <x v="2"/>
    <x v="0"/>
    <n v="30"/>
    <s v="Yes"/>
    <n v="20"/>
    <n v="7"/>
    <n v="58"/>
  </r>
  <r>
    <n v="3435"/>
    <s v="Sônia Carvalho"/>
    <x v="2"/>
    <d v="2024-09-17T00:00:00"/>
    <x v="1"/>
    <n v="10"/>
    <x v="0"/>
    <x v="1"/>
    <s v="-"/>
    <s v="Yes"/>
    <n v="20"/>
    <n v="10"/>
    <n v="20"/>
  </r>
  <r>
    <n v="3436"/>
    <s v="Tiago Rodrigues"/>
    <x v="1"/>
    <d v="2024-09-18T00:00:00"/>
    <x v="0"/>
    <n v="5"/>
    <x v="0"/>
    <x v="1"/>
    <s v="-"/>
    <s v="No"/>
    <n v="0"/>
    <n v="0"/>
    <n v="5"/>
  </r>
  <r>
    <n v="3437"/>
    <s v="Ursula Monteiro"/>
    <x v="0"/>
    <d v="2024-09-19T00:00:00"/>
    <x v="1"/>
    <n v="15"/>
    <x v="2"/>
    <x v="0"/>
    <n v="30"/>
    <s v="Yes"/>
    <n v="20"/>
    <n v="7"/>
    <n v="58"/>
  </r>
  <r>
    <n v="3438"/>
    <s v="Vanessa Pereira"/>
    <x v="2"/>
    <d v="2024-09-20T00:00:00"/>
    <x v="0"/>
    <n v="10"/>
    <x v="1"/>
    <x v="1"/>
    <s v="-"/>
    <s v="Yes"/>
    <n v="20"/>
    <n v="10"/>
    <n v="20"/>
  </r>
  <r>
    <n v="3439"/>
    <s v="Walter Silva"/>
    <x v="1"/>
    <d v="2024-09-21T00:00:00"/>
    <x v="1"/>
    <n v="5"/>
    <x v="2"/>
    <x v="1"/>
    <s v="-"/>
    <s v="No"/>
    <n v="0"/>
    <n v="1"/>
    <n v="4"/>
  </r>
  <r>
    <n v="3440"/>
    <s v="Xavier Almeida"/>
    <x v="0"/>
    <d v="2024-09-22T00:00:00"/>
    <x v="0"/>
    <n v="15"/>
    <x v="0"/>
    <x v="0"/>
    <n v="30"/>
    <s v="Yes"/>
    <n v="20"/>
    <n v="15"/>
    <n v="50"/>
  </r>
  <r>
    <n v="3441"/>
    <s v="Yasmine Correia"/>
    <x v="2"/>
    <d v="2024-09-23T00:00:00"/>
    <x v="1"/>
    <n v="10"/>
    <x v="0"/>
    <x v="1"/>
    <s v="-"/>
    <s v="Yes"/>
    <n v="20"/>
    <n v="5"/>
    <n v="25"/>
  </r>
  <r>
    <n v="3442"/>
    <s v="Zacarias Almeida"/>
    <x v="1"/>
    <d v="2024-09-24T00:00:00"/>
    <x v="0"/>
    <n v="5"/>
    <x v="1"/>
    <x v="1"/>
    <s v="-"/>
    <s v="No"/>
    <n v="0"/>
    <n v="0"/>
    <n v="5"/>
  </r>
  <r>
    <n v="3443"/>
    <s v="Amanda Costa"/>
    <x v="0"/>
    <d v="2024-09-25T00:00:00"/>
    <x v="1"/>
    <n v="15"/>
    <x v="2"/>
    <x v="0"/>
    <n v="30"/>
    <s v="Yes"/>
    <n v="20"/>
    <n v="20"/>
    <n v="45"/>
  </r>
  <r>
    <n v="3444"/>
    <s v="Bruno Ferreira"/>
    <x v="2"/>
    <d v="2024-09-26T00:00:00"/>
    <x v="0"/>
    <n v="10"/>
    <x v="2"/>
    <x v="1"/>
    <s v="-"/>
    <s v="Yes"/>
    <n v="20"/>
    <n v="12"/>
    <n v="18"/>
  </r>
  <r>
    <n v="3445"/>
    <s v="Carla Dias"/>
    <x v="1"/>
    <d v="2024-09-27T00:00:00"/>
    <x v="1"/>
    <n v="5"/>
    <x v="0"/>
    <x v="1"/>
    <s v="-"/>
    <s v="No"/>
    <n v="0"/>
    <n v="2"/>
    <n v="3"/>
  </r>
  <r>
    <n v="3446"/>
    <s v="Diogo Martins"/>
    <x v="0"/>
    <d v="2024-09-28T00:00:00"/>
    <x v="0"/>
    <n v="15"/>
    <x v="1"/>
    <x v="0"/>
    <n v="30"/>
    <s v="Yes"/>
    <n v="20"/>
    <n v="5"/>
    <n v="60"/>
  </r>
  <r>
    <n v="3447"/>
    <s v="Elisa Campos"/>
    <x v="2"/>
    <d v="2024-09-29T00:00:00"/>
    <x v="1"/>
    <n v="10"/>
    <x v="0"/>
    <x v="1"/>
    <s v="-"/>
    <s v="Yes"/>
    <n v="20"/>
    <n v="10"/>
    <n v="20"/>
  </r>
  <r>
    <n v="3448"/>
    <s v="Fabiana Lima"/>
    <x v="1"/>
    <d v="2024-09-30T00:00:00"/>
    <x v="0"/>
    <n v="5"/>
    <x v="2"/>
    <x v="1"/>
    <s v="-"/>
    <s v="No"/>
    <n v="0"/>
    <n v="0"/>
    <n v="5"/>
  </r>
  <r>
    <n v="3449"/>
    <s v="Gabriel Santos"/>
    <x v="0"/>
    <d v="2024-10-01T00:00:00"/>
    <x v="1"/>
    <n v="15"/>
    <x v="0"/>
    <x v="0"/>
    <n v="30"/>
    <s v="Yes"/>
    <n v="20"/>
    <n v="3"/>
    <n v="62"/>
  </r>
  <r>
    <n v="3450"/>
    <s v="Helena Ferreira"/>
    <x v="2"/>
    <d v="2024-10-02T00:00:00"/>
    <x v="0"/>
    <n v="10"/>
    <x v="1"/>
    <x v="1"/>
    <s v="-"/>
    <s v="Yes"/>
    <n v="20"/>
    <n v="15"/>
    <n v="15"/>
  </r>
  <r>
    <n v="3451"/>
    <s v="Ígor Nunes"/>
    <x v="1"/>
    <d v="2024-10-03T00:00:00"/>
    <x v="1"/>
    <n v="5"/>
    <x v="0"/>
    <x v="1"/>
    <s v="-"/>
    <s v="No"/>
    <n v="0"/>
    <n v="1"/>
    <n v="4"/>
  </r>
  <r>
    <n v="3452"/>
    <s v="Joana Silveira"/>
    <x v="0"/>
    <d v="2024-10-04T00:00:00"/>
    <x v="0"/>
    <n v="15"/>
    <x v="2"/>
    <x v="0"/>
    <n v="30"/>
    <s v="Yes"/>
    <n v="20"/>
    <n v="7"/>
    <n v="58"/>
  </r>
  <r>
    <n v="3453"/>
    <s v="Kléber Oliveira"/>
    <x v="2"/>
    <d v="2024-10-05T00:00:00"/>
    <x v="1"/>
    <n v="10"/>
    <x v="0"/>
    <x v="1"/>
    <s v="-"/>
    <s v="Yes"/>
    <n v="20"/>
    <n v="10"/>
    <n v="20"/>
  </r>
  <r>
    <n v="3454"/>
    <s v="Luciana Morais"/>
    <x v="1"/>
    <d v="2024-10-06T00:00:00"/>
    <x v="0"/>
    <n v="5"/>
    <x v="1"/>
    <x v="1"/>
    <s v="-"/>
    <s v="No"/>
    <n v="0"/>
    <n v="0"/>
    <n v="5"/>
  </r>
  <r>
    <n v="3455"/>
    <s v="Marcos Vinícius"/>
    <x v="0"/>
    <d v="2024-10-07T00:00:00"/>
    <x v="1"/>
    <n v="15"/>
    <x v="0"/>
    <x v="0"/>
    <n v="30"/>
    <s v="Yes"/>
    <n v="20"/>
    <n v="20"/>
    <n v="45"/>
  </r>
  <r>
    <n v="3456"/>
    <s v="Natália Barros"/>
    <x v="2"/>
    <d v="2024-10-08T00:00:00"/>
    <x v="0"/>
    <n v="10"/>
    <x v="2"/>
    <x v="1"/>
    <s v="-"/>
    <s v="Yes"/>
    <n v="20"/>
    <n v="15"/>
    <n v="15"/>
  </r>
  <r>
    <n v="3457"/>
    <s v="Oscar Sampaio"/>
    <x v="1"/>
    <d v="2024-10-09T00:00:00"/>
    <x v="1"/>
    <n v="5"/>
    <x v="0"/>
    <x v="1"/>
    <s v="-"/>
    <s v="No"/>
    <n v="0"/>
    <n v="1"/>
    <n v="4"/>
  </r>
  <r>
    <n v="3458"/>
    <s v="Patrícia Leite"/>
    <x v="0"/>
    <d v="2024-10-10T00:00:00"/>
    <x v="0"/>
    <n v="15"/>
    <x v="1"/>
    <x v="0"/>
    <n v="30"/>
    <s v="Yes"/>
    <n v="20"/>
    <n v="3"/>
    <n v="62"/>
  </r>
  <r>
    <n v="3459"/>
    <s v="Quênia Rocha"/>
    <x v="2"/>
    <d v="2024-10-11T00:00:00"/>
    <x v="1"/>
    <n v="10"/>
    <x v="0"/>
    <x v="1"/>
    <s v="-"/>
    <s v="Yes"/>
    <n v="20"/>
    <n v="10"/>
    <n v="20"/>
  </r>
  <r>
    <n v="3460"/>
    <s v="Rafael Torres"/>
    <x v="1"/>
    <d v="2024-10-12T00:00:00"/>
    <x v="0"/>
    <n v="5"/>
    <x v="2"/>
    <x v="1"/>
    <s v="-"/>
    <s v="No"/>
    <n v="0"/>
    <n v="0"/>
    <n v="5"/>
  </r>
  <r>
    <n v="3461"/>
    <s v="Sandra Gouveia"/>
    <x v="0"/>
    <d v="2024-10-13T00:00:00"/>
    <x v="1"/>
    <n v="15"/>
    <x v="0"/>
    <x v="0"/>
    <n v="30"/>
    <s v="Yes"/>
    <n v="20"/>
    <n v="15"/>
    <n v="50"/>
  </r>
  <r>
    <n v="3462"/>
    <s v="Tiago Lacerda"/>
    <x v="2"/>
    <d v="2024-10-14T00:00:00"/>
    <x v="0"/>
    <n v="10"/>
    <x v="1"/>
    <x v="1"/>
    <s v="-"/>
    <s v="Yes"/>
    <n v="20"/>
    <n v="15"/>
    <n v="15"/>
  </r>
  <r>
    <n v="3463"/>
    <s v="Ursula Fonseca"/>
    <x v="1"/>
    <d v="2024-10-15T00:00:00"/>
    <x v="1"/>
    <n v="5"/>
    <x v="0"/>
    <x v="1"/>
    <s v="-"/>
    <s v="No"/>
    <n v="0"/>
    <n v="1"/>
    <n v="4"/>
  </r>
  <r>
    <n v="3464"/>
    <s v="Vanessa Andrade"/>
    <x v="0"/>
    <d v="2024-10-16T00:00:00"/>
    <x v="0"/>
    <n v="15"/>
    <x v="2"/>
    <x v="0"/>
    <n v="30"/>
    <s v="Yes"/>
    <n v="20"/>
    <n v="7"/>
    <n v="58"/>
  </r>
  <r>
    <n v="3465"/>
    <s v="William Castro"/>
    <x v="2"/>
    <d v="2024-10-17T00:00:00"/>
    <x v="1"/>
    <n v="10"/>
    <x v="0"/>
    <x v="1"/>
    <s v="-"/>
    <s v="Yes"/>
    <n v="20"/>
    <n v="10"/>
    <n v="20"/>
  </r>
  <r>
    <n v="3466"/>
    <s v="Xavier Monteiro"/>
    <x v="1"/>
    <d v="2024-10-18T00:00:00"/>
    <x v="0"/>
    <n v="5"/>
    <x v="1"/>
    <x v="1"/>
    <s v="-"/>
    <s v="No"/>
    <n v="0"/>
    <n v="0"/>
    <n v="5"/>
  </r>
  <r>
    <n v="3467"/>
    <s v="Yasmin Figueira"/>
    <x v="0"/>
    <d v="2024-10-19T00:00:00"/>
    <x v="1"/>
    <n v="15"/>
    <x v="0"/>
    <x v="0"/>
    <n v="30"/>
    <s v="Yes"/>
    <n v="20"/>
    <n v="15"/>
    <n v="50"/>
  </r>
  <r>
    <n v="3468"/>
    <s v="Zacarias Mendonça"/>
    <x v="2"/>
    <d v="2024-10-20T00:00:00"/>
    <x v="0"/>
    <n v="10"/>
    <x v="2"/>
    <x v="1"/>
    <s v="-"/>
    <s v="Yes"/>
    <n v="20"/>
    <n v="12"/>
    <n v="18"/>
  </r>
  <r>
    <n v="3469"/>
    <s v="Amanda Menezes"/>
    <x v="1"/>
    <d v="2024-10-21T00:00:00"/>
    <x v="1"/>
    <n v="5"/>
    <x v="0"/>
    <x v="1"/>
    <s v="-"/>
    <s v="No"/>
    <n v="0"/>
    <n v="2"/>
    <n v="3"/>
  </r>
  <r>
    <n v="3470"/>
    <s v="Bruno Santos"/>
    <x v="0"/>
    <d v="2024-10-22T00:00:00"/>
    <x v="0"/>
    <n v="15"/>
    <x v="1"/>
    <x v="0"/>
    <n v="30"/>
    <s v="Yes"/>
    <n v="20"/>
    <n v="5"/>
    <n v="60"/>
  </r>
  <r>
    <n v="3471"/>
    <s v="Carla Ferreira"/>
    <x v="2"/>
    <d v="2024-10-23T00:00:00"/>
    <x v="1"/>
    <n v="10"/>
    <x v="0"/>
    <x v="1"/>
    <s v="-"/>
    <s v="Yes"/>
    <n v="20"/>
    <n v="10"/>
    <n v="20"/>
  </r>
  <r>
    <n v="3472"/>
    <s v="Diogo Alves"/>
    <x v="1"/>
    <d v="2024-10-24T00:00:00"/>
    <x v="0"/>
    <n v="5"/>
    <x v="2"/>
    <x v="1"/>
    <s v="-"/>
    <s v="No"/>
    <n v="0"/>
    <n v="0"/>
    <n v="5"/>
  </r>
  <r>
    <n v="3473"/>
    <s v="Elisa Neves"/>
    <x v="0"/>
    <d v="2024-10-25T00:00:00"/>
    <x v="1"/>
    <n v="15"/>
    <x v="0"/>
    <x v="0"/>
    <n v="30"/>
    <s v="Yes"/>
    <n v="20"/>
    <n v="3"/>
    <n v="62"/>
  </r>
  <r>
    <n v="3474"/>
    <s v="Fabiano Pires"/>
    <x v="2"/>
    <d v="2024-10-26T00:00:00"/>
    <x v="0"/>
    <n v="10"/>
    <x v="1"/>
    <x v="1"/>
    <s v="-"/>
    <s v="Yes"/>
    <n v="20"/>
    <n v="15"/>
    <n v="15"/>
  </r>
  <r>
    <n v="3475"/>
    <s v="Giovana Ribeiro"/>
    <x v="1"/>
    <d v="2024-10-27T00:00:00"/>
    <x v="1"/>
    <n v="5"/>
    <x v="0"/>
    <x v="1"/>
    <s v="-"/>
    <s v="No"/>
    <n v="0"/>
    <n v="1"/>
    <n v="4"/>
  </r>
  <r>
    <n v="3476"/>
    <s v="Hélio Costa"/>
    <x v="0"/>
    <d v="2024-10-28T00:00:00"/>
    <x v="0"/>
    <n v="15"/>
    <x v="2"/>
    <x v="0"/>
    <n v="30"/>
    <s v="Yes"/>
    <n v="20"/>
    <n v="7"/>
    <n v="58"/>
  </r>
  <r>
    <n v="3477"/>
    <s v="Íris Loureiro"/>
    <x v="2"/>
    <d v="2024-10-29T00:00:00"/>
    <x v="1"/>
    <n v="10"/>
    <x v="0"/>
    <x v="1"/>
    <s v="-"/>
    <s v="Yes"/>
    <n v="20"/>
    <n v="10"/>
    <n v="20"/>
  </r>
  <r>
    <n v="3478"/>
    <s v="João Pereira"/>
    <x v="1"/>
    <d v="2024-10-30T00:00:00"/>
    <x v="0"/>
    <n v="5"/>
    <x v="1"/>
    <x v="1"/>
    <s v="-"/>
    <s v="No"/>
    <n v="0"/>
    <n v="0"/>
    <n v="5"/>
  </r>
  <r>
    <n v="3479"/>
    <s v="Klara Silva"/>
    <x v="0"/>
    <d v="2024-10-31T00:00:00"/>
    <x v="1"/>
    <n v="15"/>
    <x v="0"/>
    <x v="0"/>
    <n v="30"/>
    <s v="Yes"/>
    <n v="20"/>
    <n v="20"/>
    <n v="45"/>
  </r>
  <r>
    <n v="3480"/>
    <s v="Luciana Barros"/>
    <x v="2"/>
    <d v="2024-11-01T00:00:00"/>
    <x v="0"/>
    <n v="10"/>
    <x v="2"/>
    <x v="1"/>
    <s v="-"/>
    <s v="Yes"/>
    <n v="20"/>
    <n v="15"/>
    <n v="15"/>
  </r>
  <r>
    <n v="3481"/>
    <s v="Marcos Gomes"/>
    <x v="1"/>
    <d v="2024-11-02T00:00:00"/>
    <x v="1"/>
    <n v="5"/>
    <x v="0"/>
    <x v="1"/>
    <s v="-"/>
    <s v="No"/>
    <n v="0"/>
    <n v="1"/>
    <n v="4"/>
  </r>
  <r>
    <n v="3482"/>
    <s v="Natália Soares"/>
    <x v="0"/>
    <d v="2024-11-03T00:00:00"/>
    <x v="0"/>
    <n v="15"/>
    <x v="1"/>
    <x v="0"/>
    <n v="30"/>
    <s v="Yes"/>
    <n v="20"/>
    <n v="3"/>
    <n v="62"/>
  </r>
  <r>
    <n v="3483"/>
    <s v="Oscar Machado"/>
    <x v="2"/>
    <d v="2024-11-04T00:00:00"/>
    <x v="1"/>
    <n v="10"/>
    <x v="0"/>
    <x v="1"/>
    <s v="-"/>
    <s v="Yes"/>
    <n v="20"/>
    <n v="10"/>
    <n v="20"/>
  </r>
  <r>
    <n v="3484"/>
    <s v="Patrícia Lima"/>
    <x v="1"/>
    <d v="2024-11-05T00:00:00"/>
    <x v="0"/>
    <n v="5"/>
    <x v="2"/>
    <x v="1"/>
    <s v="-"/>
    <s v="No"/>
    <n v="0"/>
    <n v="0"/>
    <n v="5"/>
  </r>
  <r>
    <n v="3485"/>
    <s v="Quirino Neto"/>
    <x v="0"/>
    <d v="2024-11-06T00:00:00"/>
    <x v="1"/>
    <n v="15"/>
    <x v="0"/>
    <x v="0"/>
    <n v="30"/>
    <s v="Yes"/>
    <n v="20"/>
    <n v="15"/>
    <n v="50"/>
  </r>
  <r>
    <n v="3486"/>
    <s v="Rafaela Souza"/>
    <x v="1"/>
    <d v="2024-11-07T00:00:00"/>
    <x v="0"/>
    <n v="5"/>
    <x v="0"/>
    <x v="1"/>
    <s v="-"/>
    <s v="No"/>
    <n v="0"/>
    <n v="0"/>
    <n v="5"/>
  </r>
  <r>
    <n v="3487"/>
    <s v="Sandro Almeida"/>
    <x v="0"/>
    <d v="2024-11-08T00:00:00"/>
    <x v="1"/>
    <n v="15"/>
    <x v="2"/>
    <x v="0"/>
    <n v="30"/>
    <s v="Yes"/>
    <n v="20"/>
    <n v="7"/>
    <n v="58"/>
  </r>
  <r>
    <n v="3488"/>
    <s v="Tânia Ribeiro"/>
    <x v="2"/>
    <d v="2024-11-09T00:00:00"/>
    <x v="0"/>
    <n v="10"/>
    <x v="1"/>
    <x v="1"/>
    <s v="-"/>
    <s v="Yes"/>
    <n v="20"/>
    <n v="10"/>
    <n v="20"/>
  </r>
  <r>
    <n v="3489"/>
    <s v="Ugo Dias"/>
    <x v="1"/>
    <d v="2024-11-10T00:00:00"/>
    <x v="1"/>
    <n v="5"/>
    <x v="2"/>
    <x v="1"/>
    <s v="-"/>
    <s v="No"/>
    <n v="0"/>
    <n v="1"/>
    <n v="4"/>
  </r>
  <r>
    <n v="3490"/>
    <s v="Valéria Lima"/>
    <x v="0"/>
    <d v="2024-11-11T00:00:00"/>
    <x v="0"/>
    <n v="15"/>
    <x v="0"/>
    <x v="0"/>
    <n v="30"/>
    <s v="Yes"/>
    <n v="20"/>
    <n v="15"/>
    <n v="50"/>
  </r>
  <r>
    <n v="3491"/>
    <s v="William Fernandes"/>
    <x v="2"/>
    <d v="2024-11-12T00:00:00"/>
    <x v="1"/>
    <n v="10"/>
    <x v="0"/>
    <x v="1"/>
    <s v="-"/>
    <s v="Yes"/>
    <n v="20"/>
    <n v="5"/>
    <n v="25"/>
  </r>
  <r>
    <n v="3492"/>
    <s v="Xuxa Mendes"/>
    <x v="1"/>
    <d v="2024-11-13T00:00:00"/>
    <x v="0"/>
    <n v="5"/>
    <x v="1"/>
    <x v="1"/>
    <s v="-"/>
    <s v="No"/>
    <n v="0"/>
    <n v="0"/>
    <n v="5"/>
  </r>
  <r>
    <n v="3493"/>
    <s v="Ygor Farias"/>
    <x v="0"/>
    <d v="2024-11-14T00:00:00"/>
    <x v="1"/>
    <n v="15"/>
    <x v="2"/>
    <x v="0"/>
    <n v="30"/>
    <s v="Yes"/>
    <n v="20"/>
    <n v="20"/>
    <n v="45"/>
  </r>
  <r>
    <n v="3494"/>
    <s v="Zilda Barros"/>
    <x v="2"/>
    <d v="2024-11-15T00:00:00"/>
    <x v="0"/>
    <n v="10"/>
    <x v="2"/>
    <x v="1"/>
    <s v="-"/>
    <s v="Yes"/>
    <n v="20"/>
    <n v="12"/>
    <n v="18"/>
  </r>
  <r>
    <n v="3495"/>
    <s v="Amanda Santos"/>
    <x v="1"/>
    <d v="2024-11-16T00:00:00"/>
    <x v="1"/>
    <n v="5"/>
    <x v="0"/>
    <x v="1"/>
    <s v="-"/>
    <s v="No"/>
    <n v="0"/>
    <n v="2"/>
    <n v="3"/>
  </r>
  <r>
    <n v="3496"/>
    <s v="Bruno Costa"/>
    <x v="0"/>
    <d v="2024-11-17T00:00:00"/>
    <x v="0"/>
    <n v="15"/>
    <x v="1"/>
    <x v="0"/>
    <n v="30"/>
    <s v="Yes"/>
    <n v="20"/>
    <n v="5"/>
    <n v="60"/>
  </r>
  <r>
    <n v="3497"/>
    <s v="Carla Rodrigues"/>
    <x v="2"/>
    <d v="2024-11-18T00:00:00"/>
    <x v="1"/>
    <n v="10"/>
    <x v="0"/>
    <x v="1"/>
    <s v="-"/>
    <s v="Yes"/>
    <n v="20"/>
    <n v="10"/>
    <n v="20"/>
  </r>
  <r>
    <n v="3498"/>
    <s v="Diogo Pereira"/>
    <x v="1"/>
    <d v="2024-11-19T00:00:00"/>
    <x v="0"/>
    <n v="5"/>
    <x v="2"/>
    <x v="1"/>
    <s v="-"/>
    <s v="No"/>
    <n v="0"/>
    <n v="0"/>
    <n v="5"/>
  </r>
  <r>
    <n v="3499"/>
    <s v="Elisa Correia"/>
    <x v="0"/>
    <d v="2024-11-20T00:00:00"/>
    <x v="1"/>
    <n v="15"/>
    <x v="0"/>
    <x v="0"/>
    <n v="30"/>
    <s v="Yes"/>
    <n v="20"/>
    <n v="3"/>
    <n v="62"/>
  </r>
  <r>
    <n v="3500"/>
    <s v="Fábio Lourenço"/>
    <x v="2"/>
    <d v="2024-11-21T00:00:00"/>
    <x v="0"/>
    <n v="10"/>
    <x v="1"/>
    <x v="1"/>
    <s v="-"/>
    <s v="Yes"/>
    <n v="20"/>
    <n v="15"/>
    <n v="15"/>
  </r>
  <r>
    <n v="3501"/>
    <s v="Gabriela Neves"/>
    <x v="1"/>
    <d v="2024-11-22T00:00:00"/>
    <x v="1"/>
    <n v="5"/>
    <x v="0"/>
    <x v="1"/>
    <s v="-"/>
    <s v="No"/>
    <n v="0"/>
    <n v="1"/>
    <n v="4"/>
  </r>
  <r>
    <n v="3502"/>
    <s v="Henrique Gonçalves"/>
    <x v="0"/>
    <d v="2024-11-23T00:00:00"/>
    <x v="0"/>
    <n v="15"/>
    <x v="2"/>
    <x v="0"/>
    <n v="30"/>
    <s v="Yes"/>
    <n v="20"/>
    <n v="7"/>
    <n v="58"/>
  </r>
  <r>
    <n v="3503"/>
    <s v="Íris Santos"/>
    <x v="2"/>
    <d v="2024-11-24T00:00:00"/>
    <x v="1"/>
    <n v="10"/>
    <x v="0"/>
    <x v="1"/>
    <s v="-"/>
    <s v="Yes"/>
    <n v="20"/>
    <n v="10"/>
    <n v="20"/>
  </r>
  <r>
    <n v="3504"/>
    <s v="João Marcelo Alves"/>
    <x v="1"/>
    <d v="2024-11-25T00:00:00"/>
    <x v="0"/>
    <n v="5"/>
    <x v="1"/>
    <x v="1"/>
    <s v="-"/>
    <s v="No"/>
    <n v="0"/>
    <n v="0"/>
    <n v="5"/>
  </r>
  <r>
    <n v="3505"/>
    <s v="Klara Fonseca"/>
    <x v="0"/>
    <d v="2024-11-26T00:00:00"/>
    <x v="1"/>
    <n v="15"/>
    <x v="0"/>
    <x v="0"/>
    <n v="30"/>
    <s v="Yes"/>
    <n v="20"/>
    <n v="20"/>
    <n v="45"/>
  </r>
  <r>
    <n v="3506"/>
    <s v="Lucas Mendonça"/>
    <x v="2"/>
    <d v="2024-11-27T00:00:00"/>
    <x v="0"/>
    <n v="10"/>
    <x v="2"/>
    <x v="1"/>
    <s v="-"/>
    <s v="Yes"/>
    <n v="20"/>
    <n v="15"/>
    <n v="15"/>
  </r>
  <r>
    <n v="3507"/>
    <s v="Marcela Torres"/>
    <x v="1"/>
    <d v="2024-11-28T00:00:00"/>
    <x v="1"/>
    <n v="5"/>
    <x v="0"/>
    <x v="1"/>
    <s v="-"/>
    <s v="No"/>
    <n v="0"/>
    <n v="1"/>
    <n v="4"/>
  </r>
  <r>
    <n v="3508"/>
    <s v="Natália Castro"/>
    <x v="0"/>
    <d v="2024-11-29T00:00:00"/>
    <x v="0"/>
    <n v="15"/>
    <x v="1"/>
    <x v="0"/>
    <n v="30"/>
    <s v="Yes"/>
    <n v="20"/>
    <n v="3"/>
    <n v="62"/>
  </r>
  <r>
    <n v="3509"/>
    <s v="Oscar Martins"/>
    <x v="2"/>
    <d v="2024-11-30T00:00:00"/>
    <x v="1"/>
    <n v="10"/>
    <x v="0"/>
    <x v="1"/>
    <s v="-"/>
    <s v="Yes"/>
    <n v="20"/>
    <n v="10"/>
    <n v="20"/>
  </r>
  <r>
    <n v="3510"/>
    <s v="Patrícia Oliveira"/>
    <x v="1"/>
    <d v="2024-12-01T00:00:00"/>
    <x v="0"/>
    <n v="5"/>
    <x v="2"/>
    <x v="1"/>
    <s v="-"/>
    <s v="No"/>
    <n v="0"/>
    <n v="0"/>
    <n v="5"/>
  </r>
  <r>
    <n v="3511"/>
    <s v="Quentin Nogueira"/>
    <x v="0"/>
    <d v="2024-12-02T00:00:00"/>
    <x v="1"/>
    <n v="15"/>
    <x v="0"/>
    <x v="0"/>
    <n v="30"/>
    <s v="Yes"/>
    <n v="20"/>
    <n v="15"/>
    <n v="50"/>
  </r>
  <r>
    <n v="3512"/>
    <s v="Raquel Silva"/>
    <x v="2"/>
    <d v="2024-12-03T00:00:00"/>
    <x v="0"/>
    <n v="10"/>
    <x v="1"/>
    <x v="1"/>
    <s v="-"/>
    <s v="Yes"/>
    <n v="20"/>
    <n v="15"/>
    <n v="15"/>
  </r>
  <r>
    <n v="3513"/>
    <s v="Sandro Gomes"/>
    <x v="1"/>
    <d v="2024-12-04T00:00:00"/>
    <x v="1"/>
    <n v="5"/>
    <x v="0"/>
    <x v="1"/>
    <s v="-"/>
    <s v="No"/>
    <n v="0"/>
    <n v="1"/>
    <n v="4"/>
  </r>
  <r>
    <n v="3514"/>
    <s v="Tânia Machado"/>
    <x v="0"/>
    <d v="2024-12-05T00:00:00"/>
    <x v="0"/>
    <n v="15"/>
    <x v="2"/>
    <x v="0"/>
    <n v="30"/>
    <s v="Yes"/>
    <n v="20"/>
    <n v="7"/>
    <n v="58"/>
  </r>
  <r>
    <n v="3515"/>
    <s v="Ursula Silva"/>
    <x v="2"/>
    <d v="2024-12-06T00:00:00"/>
    <x v="1"/>
    <n v="10"/>
    <x v="0"/>
    <x v="1"/>
    <s v="-"/>
    <s v="Yes"/>
    <n v="20"/>
    <n v="10"/>
    <n v="20"/>
  </r>
  <r>
    <n v="3516"/>
    <s v="Vanessa Moraes"/>
    <x v="1"/>
    <d v="2024-12-07T00:00:00"/>
    <x v="0"/>
    <n v="5"/>
    <x v="1"/>
    <x v="1"/>
    <s v="-"/>
    <s v="No"/>
    <n v="0"/>
    <n v="0"/>
    <n v="5"/>
  </r>
  <r>
    <n v="3517"/>
    <s v="William Carvalho"/>
    <x v="0"/>
    <d v="2024-12-08T00:00:00"/>
    <x v="1"/>
    <n v="15"/>
    <x v="0"/>
    <x v="0"/>
    <n v="30"/>
    <s v="Yes"/>
    <n v="20"/>
    <n v="20"/>
    <n v="45"/>
  </r>
  <r>
    <n v="3518"/>
    <s v="Xavier Reis"/>
    <x v="2"/>
    <d v="2024-12-09T00:00:00"/>
    <x v="0"/>
    <n v="10"/>
    <x v="2"/>
    <x v="1"/>
    <s v="-"/>
    <s v="Yes"/>
    <n v="20"/>
    <n v="12"/>
    <n v="18"/>
  </r>
  <r>
    <n v="3519"/>
    <s v="Yasmin Rocha"/>
    <x v="1"/>
    <d v="2024-12-10T00:00:00"/>
    <x v="1"/>
    <n v="5"/>
    <x v="0"/>
    <x v="1"/>
    <s v="-"/>
    <s v="No"/>
    <n v="0"/>
    <n v="2"/>
    <n v="3"/>
  </r>
  <r>
    <n v="3520"/>
    <s v="Zacarias Duarte"/>
    <x v="0"/>
    <d v="2024-12-11T00:00:00"/>
    <x v="0"/>
    <n v="15"/>
    <x v="1"/>
    <x v="0"/>
    <n v="30"/>
    <s v="Yes"/>
    <n v="20"/>
    <n v="5"/>
    <n v="60"/>
  </r>
  <r>
    <n v="3521"/>
    <s v="Amanda Freitas"/>
    <x v="2"/>
    <d v="2024-12-12T00:00:00"/>
    <x v="1"/>
    <n v="10"/>
    <x v="0"/>
    <x v="1"/>
    <s v="-"/>
    <s v="Yes"/>
    <n v="20"/>
    <n v="10"/>
    <n v="20"/>
  </r>
  <r>
    <n v="3522"/>
    <s v="Bruno Almeida"/>
    <x v="1"/>
    <d v="2024-12-13T00:00:00"/>
    <x v="0"/>
    <n v="5"/>
    <x v="2"/>
    <x v="1"/>
    <s v="-"/>
    <s v="No"/>
    <n v="0"/>
    <n v="0"/>
    <n v="5"/>
  </r>
  <r>
    <n v="3523"/>
    <s v="Carla Siqueira"/>
    <x v="0"/>
    <d v="2024-12-14T00:00:00"/>
    <x v="1"/>
    <n v="15"/>
    <x v="0"/>
    <x v="0"/>
    <n v="30"/>
    <s v="Yes"/>
    <n v="20"/>
    <n v="3"/>
    <n v="62"/>
  </r>
  <r>
    <n v="3524"/>
    <s v="Diogo Ramos"/>
    <x v="2"/>
    <d v="2024-12-15T00:00:00"/>
    <x v="0"/>
    <n v="10"/>
    <x v="1"/>
    <x v="1"/>
    <s v="-"/>
    <s v="Yes"/>
    <n v="20"/>
    <n v="15"/>
    <n v="15"/>
  </r>
  <r>
    <n v="3525"/>
    <s v="Elisa Magalhães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EFAD10-8BD4-4500-B44C-F8192936D082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0:C13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CCE75-59DC-4AD9-A1D8-1982C9ADA3FB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3:C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BF9245-C48A-406A-AA28-5FD9445D33DF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851720F-C866-4231-B901-E2B27A2CCFBD}" sourceName="Subscription Type">
  <pivotTables>
    <pivotTable tabId="3" name="tbl_annual_total"/>
    <pivotTable tabId="3" name="tbl_easeasonpass_total"/>
    <pivotTable tabId="3" name="Tabela dinâmica4"/>
  </pivotTables>
  <data>
    <tabular pivotCacheId="1200852835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6A2BBB8B-EFE8-414A-8748-5570206F299E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A19" sqref="A1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312</v>
      </c>
      <c r="C5" t="s">
        <v>7</v>
      </c>
      <c r="E5" s="7" t="s">
        <v>5</v>
      </c>
      <c r="F5" t="s">
        <v>6</v>
      </c>
    </row>
    <row r="6" spans="2:16" x14ac:dyDescent="0.25">
      <c r="B6" s="4" t="s">
        <v>2</v>
      </c>
      <c r="C6" t="s">
        <v>7</v>
      </c>
    </row>
    <row r="7" spans="2:16" x14ac:dyDescent="0.25">
      <c r="B7" s="5" t="s">
        <v>3</v>
      </c>
      <c r="C7" t="s">
        <v>8</v>
      </c>
    </row>
    <row r="8" spans="2:16" x14ac:dyDescent="0.25">
      <c r="B8" s="6" t="s">
        <v>4</v>
      </c>
      <c r="C8" t="s">
        <v>8</v>
      </c>
    </row>
    <row r="9" spans="2:16" x14ac:dyDescent="0.25">
      <c r="B9" s="18"/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A19" sqref="A19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</row>
    <row r="2" spans="1:13" ht="16.5" customHeight="1" x14ac:dyDescent="0.25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H37"/>
  <sheetViews>
    <sheetView showGridLines="0" topLeftCell="A13" workbookViewId="0">
      <selection activeCell="A19" sqref="A19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10.7109375" bestFit="1" customWidth="1"/>
    <col min="6" max="6" width="19.140625" bestFit="1" customWidth="1"/>
    <col min="7" max="7" width="29.140625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8" x14ac:dyDescent="0.25">
      <c r="B2" s="21" t="s">
        <v>319</v>
      </c>
      <c r="C2" s="21"/>
      <c r="D2" s="21"/>
      <c r="E2" s="21"/>
      <c r="F2" s="21"/>
    </row>
    <row r="4" spans="2:8" x14ac:dyDescent="0.25">
      <c r="B4" s="22" t="s">
        <v>314</v>
      </c>
      <c r="C4" s="22"/>
      <c r="D4" s="22"/>
      <c r="E4" s="22"/>
      <c r="F4" s="22"/>
      <c r="G4" s="22"/>
    </row>
    <row r="5" spans="2:8" x14ac:dyDescent="0.25">
      <c r="B5" s="23" t="s">
        <v>318</v>
      </c>
      <c r="C5" s="23"/>
      <c r="D5" s="23"/>
      <c r="E5" s="23"/>
      <c r="F5" s="23"/>
      <c r="G5" s="23"/>
      <c r="H5" s="13"/>
    </row>
    <row r="6" spans="2:8" x14ac:dyDescent="0.25">
      <c r="B6" s="15"/>
      <c r="C6" s="15"/>
      <c r="D6" s="15"/>
      <c r="E6" s="15"/>
      <c r="F6" s="15"/>
      <c r="G6" s="15"/>
      <c r="H6" s="13"/>
    </row>
    <row r="7" spans="2:8" x14ac:dyDescent="0.25">
      <c r="B7" s="15"/>
      <c r="C7" s="15"/>
      <c r="D7" s="15"/>
      <c r="E7" s="15"/>
      <c r="F7" s="15"/>
      <c r="G7" s="15"/>
      <c r="H7" s="13"/>
    </row>
    <row r="8" spans="2:8" x14ac:dyDescent="0.25">
      <c r="B8" s="12" t="s">
        <v>15</v>
      </c>
      <c r="C8" t="s">
        <v>313</v>
      </c>
    </row>
    <row r="10" spans="2:8" x14ac:dyDescent="0.25">
      <c r="B10" s="12" t="s">
        <v>315</v>
      </c>
      <c r="C10" t="s">
        <v>317</v>
      </c>
    </row>
    <row r="11" spans="2:8" x14ac:dyDescent="0.25">
      <c r="B11" s="13" t="s">
        <v>22</v>
      </c>
      <c r="C11" s="14">
        <v>3847</v>
      </c>
    </row>
    <row r="12" spans="2:8" x14ac:dyDescent="0.25">
      <c r="B12" s="13" t="s">
        <v>18</v>
      </c>
      <c r="C12" s="14">
        <v>3786</v>
      </c>
    </row>
    <row r="13" spans="2:8" x14ac:dyDescent="0.25">
      <c r="B13" s="13" t="s">
        <v>316</v>
      </c>
      <c r="C13" s="14">
        <v>7633</v>
      </c>
    </row>
    <row r="17" spans="2:5" x14ac:dyDescent="0.25">
      <c r="B17" t="s">
        <v>321</v>
      </c>
    </row>
    <row r="19" spans="2:5" x14ac:dyDescent="0.25">
      <c r="B19" s="12" t="s">
        <v>15</v>
      </c>
      <c r="C19" t="s">
        <v>313</v>
      </c>
    </row>
    <row r="21" spans="2:5" x14ac:dyDescent="0.25">
      <c r="B21" s="12" t="s">
        <v>315</v>
      </c>
      <c r="C21" t="s">
        <v>322</v>
      </c>
    </row>
    <row r="22" spans="2:5" x14ac:dyDescent="0.25">
      <c r="B22" s="13" t="s">
        <v>21</v>
      </c>
      <c r="C22">
        <v>0</v>
      </c>
    </row>
    <row r="23" spans="2:5" x14ac:dyDescent="0.25">
      <c r="B23" s="13" t="s">
        <v>25</v>
      </c>
      <c r="C23">
        <v>0</v>
      </c>
    </row>
    <row r="24" spans="2:5" x14ac:dyDescent="0.25">
      <c r="B24" s="13" t="s">
        <v>17</v>
      </c>
      <c r="C24">
        <v>2940</v>
      </c>
    </row>
    <row r="25" spans="2:5" x14ac:dyDescent="0.25">
      <c r="B25" s="13" t="s">
        <v>316</v>
      </c>
      <c r="C25">
        <v>2940</v>
      </c>
      <c r="E25" s="17">
        <f>GETPIVOTDATA("EA Play Season Pass
Price",$B$21)</f>
        <v>2940</v>
      </c>
    </row>
    <row r="29" spans="2:5" x14ac:dyDescent="0.25">
      <c r="B29" t="s">
        <v>323</v>
      </c>
    </row>
    <row r="31" spans="2:5" x14ac:dyDescent="0.25">
      <c r="B31" s="12" t="s">
        <v>15</v>
      </c>
      <c r="C31" t="s">
        <v>313</v>
      </c>
    </row>
    <row r="33" spans="2:5" x14ac:dyDescent="0.25">
      <c r="B33" s="12" t="s">
        <v>315</v>
      </c>
      <c r="C33" t="s">
        <v>324</v>
      </c>
    </row>
    <row r="34" spans="2:5" x14ac:dyDescent="0.25">
      <c r="B34" s="13" t="s">
        <v>21</v>
      </c>
      <c r="C34" s="14">
        <v>0</v>
      </c>
    </row>
    <row r="35" spans="2:5" x14ac:dyDescent="0.25">
      <c r="B35" s="13" t="s">
        <v>25</v>
      </c>
      <c r="C35" s="14">
        <v>1920</v>
      </c>
    </row>
    <row r="36" spans="2:5" x14ac:dyDescent="0.25">
      <c r="B36" s="13" t="s">
        <v>17</v>
      </c>
      <c r="C36" s="14">
        <v>1960</v>
      </c>
    </row>
    <row r="37" spans="2:5" x14ac:dyDescent="0.25">
      <c r="B37" s="13" t="s">
        <v>316</v>
      </c>
      <c r="C37" s="14">
        <v>3880</v>
      </c>
      <c r="E37" s="17">
        <f>GETPIVOTDATA("Minecraft Season Pass Price",$B$33)</f>
        <v>3880</v>
      </c>
    </row>
  </sheetData>
  <mergeCells count="3">
    <mergeCell ref="B2:F2"/>
    <mergeCell ref="B4:G4"/>
    <mergeCell ref="B5:G5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73"/>
  <sheetViews>
    <sheetView showGridLines="0" showRowColHeaders="0" tabSelected="1" zoomScale="85" zoomScaleNormal="85" workbookViewId="0">
      <selection activeCell="T23" sqref="T23"/>
    </sheetView>
  </sheetViews>
  <sheetFormatPr defaultRowHeight="15" x14ac:dyDescent="0.25"/>
  <cols>
    <col min="1" max="1" width="31.140625" style="4" customWidth="1"/>
    <col min="2" max="2" width="3.5703125" customWidth="1"/>
    <col min="12" max="12" width="6.5703125" customWidth="1"/>
    <col min="19" max="19" width="7.7109375" customWidth="1"/>
  </cols>
  <sheetData>
    <row r="1" spans="1:18" ht="15" customHeight="1" x14ac:dyDescent="0.25"/>
    <row r="2" spans="1:18" ht="15" customHeight="1" x14ac:dyDescent="0.25"/>
    <row r="3" spans="1:18" ht="25.5" customHeight="1" thickBot="1" x14ac:dyDescent="0.35">
      <c r="C3" s="20" t="s">
        <v>320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9"/>
      <c r="Q3" s="19"/>
      <c r="R3" s="19"/>
    </row>
    <row r="4" spans="1:18" ht="15" customHeight="1" thickTop="1" x14ac:dyDescent="0.25"/>
    <row r="5" spans="1:18" ht="15" customHeight="1" x14ac:dyDescent="0.25"/>
    <row r="6" spans="1:18" s="7" customFormat="1" ht="15" customHeight="1" x14ac:dyDescent="0.25">
      <c r="A6" s="4"/>
    </row>
    <row r="7" spans="1:18" s="7" customFormat="1" ht="15" customHeight="1" x14ac:dyDescent="0.25">
      <c r="A7" s="4"/>
    </row>
    <row r="8" spans="1:18" s="7" customFormat="1" ht="15" customHeight="1" x14ac:dyDescent="0.25">
      <c r="A8" s="4"/>
    </row>
    <row r="9" spans="1:18" s="7" customFormat="1" ht="15" customHeight="1" x14ac:dyDescent="0.25">
      <c r="A9" s="4"/>
    </row>
    <row r="10" spans="1:18" s="7" customFormat="1" ht="15" customHeight="1" x14ac:dyDescent="0.25">
      <c r="A10" s="4"/>
    </row>
    <row r="11" spans="1:18" s="7" customFormat="1" x14ac:dyDescent="0.25">
      <c r="A11" s="4"/>
    </row>
    <row r="12" spans="1:18" s="7" customFormat="1" x14ac:dyDescent="0.25">
      <c r="A12" s="4"/>
    </row>
    <row r="13" spans="1:18" s="7" customFormat="1" x14ac:dyDescent="0.25">
      <c r="A13" s="4"/>
    </row>
    <row r="14" spans="1:18" s="7" customFormat="1" x14ac:dyDescent="0.25">
      <c r="A14" s="4"/>
    </row>
    <row r="15" spans="1:18" s="7" customFormat="1" x14ac:dyDescent="0.25">
      <c r="A15" s="4"/>
    </row>
    <row r="16" spans="1:18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ht="15" customHeigh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249113-1808-4fcc-96ec-000e81c8167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48FA55CA01549A94586895F6E941A" ma:contentTypeVersion="11" ma:contentTypeDescription="Create a new document." ma:contentTypeScope="" ma:versionID="8d53c82320aef2f231978633a7810279">
  <xsd:schema xmlns:xsd="http://www.w3.org/2001/XMLSchema" xmlns:xs="http://www.w3.org/2001/XMLSchema" xmlns:p="http://schemas.microsoft.com/office/2006/metadata/properties" xmlns:ns3="09249113-1808-4fcc-96ec-000e81c8167e" targetNamespace="http://schemas.microsoft.com/office/2006/metadata/properties" ma:root="true" ma:fieldsID="ddd1c2159f61f3192934698ef0ecc080" ns3:_="">
    <xsd:import namespace="09249113-1808-4fcc-96ec-000e81c8167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249113-1808-4fcc-96ec-000e81c8167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infopath/2007/PartnerControls"/>
    <ds:schemaRef ds:uri="09249113-1808-4fcc-96ec-000e81c8167e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6865BB9-6D87-4780-A609-D48C57EEA7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249113-1808-4fcc-96ec-000e81c816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Carlos Eduardo de Oliveira Silva</cp:lastModifiedBy>
  <dcterms:created xsi:type="dcterms:W3CDTF">2024-12-19T13:13:10Z</dcterms:created>
  <dcterms:modified xsi:type="dcterms:W3CDTF">2026-10-05T19:31:37Z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0x0101005CB48FA55CA01549A94586895F6E941A</vt:lpwstr>
  </property>
</Properties>
</file>